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eld\Documents\GitHub\CreatureCombat\cards\"/>
    </mc:Choice>
  </mc:AlternateContent>
  <xr:revisionPtr revIDLastSave="0" documentId="13_ncr:1_{1BD912D7-B69D-4F24-ADC6-F0DA74A93F29}" xr6:coauthVersionLast="47" xr6:coauthVersionMax="47" xr10:uidLastSave="{00000000-0000-0000-0000-000000000000}"/>
  <bookViews>
    <workbookView xWindow="11460" yWindow="1455" windowWidth="17205" windowHeight="13410" activeTab="1" xr2:uid="{A1C39383-539F-404C-8541-3FE92D95158A}"/>
  </bookViews>
  <sheets>
    <sheet name="Creatures" sheetId="1" r:id="rId1"/>
    <sheet name="Species" sheetId="4" r:id="rId2"/>
    <sheet name="Worksheet" sheetId="6" r:id="rId3"/>
    <sheet name="Abilities" sheetId="3" r:id="rId4"/>
    <sheet name="Constants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I5" i="4" l="1"/>
  <c r="J5" i="4" s="1"/>
  <c r="K5" i="4"/>
  <c r="L5" i="4" s="1"/>
  <c r="K4" i="4"/>
  <c r="L4" i="4" s="1"/>
  <c r="I4" i="4"/>
  <c r="J4" i="4" s="1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4" i="6"/>
  <c r="F4" i="6" s="1"/>
  <c r="C17" i="6"/>
  <c r="D17" i="6"/>
  <c r="C18" i="6"/>
  <c r="D18" i="6" s="1"/>
  <c r="F18" i="6" s="1"/>
  <c r="C19" i="6"/>
  <c r="C20" i="6"/>
  <c r="D20" i="6" s="1"/>
  <c r="F20" i="6" s="1"/>
  <c r="C5" i="6"/>
  <c r="C6" i="6"/>
  <c r="C7" i="6"/>
  <c r="C8" i="6"/>
  <c r="C9" i="6"/>
  <c r="C10" i="6"/>
  <c r="C11" i="6"/>
  <c r="D11" i="6" s="1"/>
  <c r="C12" i="6"/>
  <c r="C13" i="6"/>
  <c r="C14" i="6"/>
  <c r="C15" i="6"/>
  <c r="C16" i="6"/>
  <c r="C4" i="6"/>
  <c r="D9" i="6"/>
  <c r="D10" i="6"/>
  <c r="D14" i="6"/>
  <c r="D15" i="6"/>
  <c r="M21" i="6"/>
  <c r="M22" i="6"/>
  <c r="M23" i="6"/>
  <c r="M24" i="6"/>
  <c r="D4" i="6"/>
  <c r="F17" i="6" l="1"/>
  <c r="F15" i="6"/>
  <c r="F9" i="6"/>
  <c r="F10" i="6"/>
  <c r="G10" i="6" s="1"/>
  <c r="I10" i="6" s="1"/>
  <c r="K10" i="6" s="1" a="1"/>
  <c r="G17" i="6"/>
  <c r="I17" i="6" s="1"/>
  <c r="K17" i="6" s="1" a="1"/>
  <c r="M17" i="6" s="1"/>
  <c r="H17" i="6"/>
  <c r="J17" i="6" s="1"/>
  <c r="L17" i="6" s="1" a="1"/>
  <c r="H18" i="6"/>
  <c r="J18" i="6" s="1"/>
  <c r="L18" i="6" s="1" a="1"/>
  <c r="G18" i="6"/>
  <c r="I18" i="6" s="1"/>
  <c r="K18" i="6" s="1" a="1"/>
  <c r="D19" i="6"/>
  <c r="G20" i="6"/>
  <c r="I20" i="6" s="1"/>
  <c r="K20" i="6" s="1" a="1"/>
  <c r="H20" i="6"/>
  <c r="J20" i="6" s="1"/>
  <c r="L20" i="6" s="1" a="1"/>
  <c r="F11" i="6"/>
  <c r="F14" i="6"/>
  <c r="H4" i="6"/>
  <c r="J4" i="6" s="1"/>
  <c r="L4" i="6" s="1" a="1"/>
  <c r="G4" i="6"/>
  <c r="I4" i="6" s="1"/>
  <c r="K4" i="6" s="1" a="1"/>
  <c r="M4" i="6" s="1"/>
  <c r="D5" i="6"/>
  <c r="D6" i="6"/>
  <c r="D7" i="6"/>
  <c r="D8" i="6"/>
  <c r="H9" i="6"/>
  <c r="J9" i="6" s="1"/>
  <c r="L9" i="6" s="1" a="1"/>
  <c r="G9" i="6"/>
  <c r="I9" i="6" s="1"/>
  <c r="K9" i="6" s="1" a="1"/>
  <c r="H10" i="6"/>
  <c r="J10" i="6" s="1"/>
  <c r="L10" i="6" s="1" a="1"/>
  <c r="D12" i="6"/>
  <c r="D13" i="6"/>
  <c r="H15" i="6"/>
  <c r="J15" i="6" s="1"/>
  <c r="L15" i="6" s="1" a="1"/>
  <c r="G15" i="6"/>
  <c r="I15" i="6" s="1"/>
  <c r="K15" i="6" s="1" a="1"/>
  <c r="D16" i="6"/>
  <c r="F16" i="6" s="1"/>
  <c r="H14" i="6" l="1"/>
  <c r="J14" i="6" s="1"/>
  <c r="L14" i="6" s="1" a="1"/>
  <c r="G14" i="6"/>
  <c r="I14" i="6" s="1"/>
  <c r="K14" i="6" s="1" a="1"/>
  <c r="M20" i="6"/>
  <c r="F19" i="6"/>
  <c r="M18" i="6"/>
  <c r="F12" i="6"/>
  <c r="M14" i="6"/>
  <c r="M15" i="6"/>
  <c r="M10" i="6"/>
  <c r="M9" i="6"/>
  <c r="H11" i="6"/>
  <c r="J11" i="6" s="1"/>
  <c r="L11" i="6" s="1" a="1"/>
  <c r="G11" i="6"/>
  <c r="I11" i="6" s="1"/>
  <c r="K11" i="6" s="1" a="1"/>
  <c r="H16" i="6"/>
  <c r="J16" i="6" s="1"/>
  <c r="L16" i="6" s="1" a="1"/>
  <c r="G16" i="6"/>
  <c r="I16" i="6" s="1"/>
  <c r="K16" i="6" s="1" a="1"/>
  <c r="F5" i="6"/>
  <c r="F6" i="6"/>
  <c r="F7" i="6"/>
  <c r="F8" i="6"/>
  <c r="F13" i="6"/>
  <c r="G12" i="6" l="1"/>
  <c r="I12" i="6" s="1"/>
  <c r="K12" i="6" s="1" a="1"/>
  <c r="M12" i="6" s="1"/>
  <c r="H12" i="6"/>
  <c r="J12" i="6" s="1"/>
  <c r="L12" i="6" s="1" a="1"/>
  <c r="G19" i="6"/>
  <c r="I19" i="6" s="1"/>
  <c r="K19" i="6" s="1" a="1"/>
  <c r="H19" i="6"/>
  <c r="J19" i="6" s="1"/>
  <c r="L19" i="6" s="1" a="1"/>
  <c r="M16" i="6"/>
  <c r="M11" i="6"/>
  <c r="G5" i="6"/>
  <c r="I5" i="6" s="1"/>
  <c r="K5" i="6" s="1" a="1"/>
  <c r="H5" i="6"/>
  <c r="J5" i="6" s="1"/>
  <c r="L5" i="6" s="1" a="1"/>
  <c r="G6" i="6"/>
  <c r="I6" i="6" s="1"/>
  <c r="K6" i="6" s="1" a="1"/>
  <c r="H6" i="6"/>
  <c r="J6" i="6" s="1"/>
  <c r="L6" i="6" s="1" a="1"/>
  <c r="H7" i="6"/>
  <c r="J7" i="6" s="1"/>
  <c r="L7" i="6" s="1" a="1"/>
  <c r="G7" i="6"/>
  <c r="I7" i="6" s="1"/>
  <c r="K7" i="6" s="1" a="1"/>
  <c r="G8" i="6"/>
  <c r="I8" i="6" s="1"/>
  <c r="K8" i="6" s="1" a="1"/>
  <c r="H8" i="6"/>
  <c r="J8" i="6" s="1"/>
  <c r="L8" i="6" s="1" a="1"/>
  <c r="G13" i="6"/>
  <c r="I13" i="6" s="1"/>
  <c r="K13" i="6" s="1" a="1"/>
  <c r="H13" i="6"/>
  <c r="J13" i="6" s="1"/>
  <c r="L13" i="6" s="1" a="1"/>
  <c r="M19" i="6" l="1"/>
  <c r="M7" i="6"/>
  <c r="M8" i="6"/>
  <c r="M6" i="6"/>
  <c r="M13" i="6"/>
  <c r="M5" i="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<sst xmlns="http://schemas.openxmlformats.org/spreadsheetml/2006/main" count="595" uniqueCount="292">
  <si>
    <t>Creature</t>
  </si>
  <si>
    <t>Types</t>
  </si>
  <si>
    <t>Base Power</t>
  </si>
  <si>
    <t>TMod1</t>
  </si>
  <si>
    <t>TMod2</t>
  </si>
  <si>
    <t>TMod3</t>
  </si>
  <si>
    <t>TMod4</t>
  </si>
  <si>
    <t>TMod5</t>
  </si>
  <si>
    <t>mod</t>
  </si>
  <si>
    <t>Rest cost</t>
  </si>
  <si>
    <t>Point Cost</t>
  </si>
  <si>
    <t>Adir Doe</t>
  </si>
  <si>
    <t>Forest</t>
  </si>
  <si>
    <t>Plain</t>
  </si>
  <si>
    <t>Mountain</t>
  </si>
  <si>
    <t>Desert</t>
  </si>
  <si>
    <t>Wasteland</t>
  </si>
  <si>
    <t>Disguise Young</t>
  </si>
  <si>
    <t>Transform</t>
  </si>
  <si>
    <t>Battlecry</t>
  </si>
  <si>
    <t>Name</t>
  </si>
  <si>
    <t>Magic Type</t>
  </si>
  <si>
    <t>Trigger</t>
  </si>
  <si>
    <t>Cost</t>
  </si>
  <si>
    <t>Requirement</t>
  </si>
  <si>
    <t>Effect</t>
  </si>
  <si>
    <t>Ability 1</t>
  </si>
  <si>
    <t>Ability 2</t>
  </si>
  <si>
    <t>Hide Young</t>
  </si>
  <si>
    <t>Transform a creature into a creature type.</t>
  </si>
  <si>
    <t>Illusion</t>
  </si>
  <si>
    <t>Greeting</t>
  </si>
  <si>
    <t>Give arriving creature Ward 3.</t>
  </si>
  <si>
    <t>Adir Fawn</t>
  </si>
  <si>
    <t>Cervid</t>
  </si>
  <si>
    <t>Plant</t>
  </si>
  <si>
    <t>Birth</t>
  </si>
  <si>
    <t>Give me +2 in a terrain mod.</t>
  </si>
  <si>
    <t>Feed</t>
  </si>
  <si>
    <t>Buff</t>
  </si>
  <si>
    <t>Attended</t>
  </si>
  <si>
    <t>Home</t>
  </si>
  <si>
    <t>Give me +2.</t>
  </si>
  <si>
    <t>Adir Lookout</t>
  </si>
  <si>
    <t>Eyes Peeled</t>
  </si>
  <si>
    <t>Divination</t>
  </si>
  <si>
    <t>Select a creature type.</t>
  </si>
  <si>
    <t>Hoof Stomp</t>
  </si>
  <si>
    <t>Communication</t>
  </si>
  <si>
    <t>Ambush</t>
  </si>
  <si>
    <t>is the triggering creature the selected creature type?</t>
  </si>
  <si>
    <t>Is the triggering creature the selected creature type?</t>
  </si>
  <si>
    <t>Let a friendly creature retreat.</t>
  </si>
  <si>
    <t>Adir Luminantler</t>
  </si>
  <si>
    <t>Light</t>
  </si>
  <si>
    <t>Light Tail</t>
  </si>
  <si>
    <t>Once</t>
  </si>
  <si>
    <t>Social X</t>
  </si>
  <si>
    <t>X</t>
  </si>
  <si>
    <t>Once, Social X</t>
  </si>
  <si>
    <t>Move all friendly creatures to the travel zone.</t>
  </si>
  <si>
    <t>Adir Mossback</t>
  </si>
  <si>
    <t>Poison</t>
  </si>
  <si>
    <t>Poison Moss</t>
  </si>
  <si>
    <t>Life</t>
  </si>
  <si>
    <t>Retaliate</t>
  </si>
  <si>
    <t>Deal 5 damage to attacking creature.</t>
  </si>
  <si>
    <t>Intercept</t>
  </si>
  <si>
    <t>Motion</t>
  </si>
  <si>
    <t>Change the target of the triggering ability to me.</t>
  </si>
  <si>
    <t>Adir Runhart</t>
  </si>
  <si>
    <t>Cloud</t>
  </si>
  <si>
    <t>Scout</t>
  </si>
  <si>
    <t>Dawn</t>
  </si>
  <si>
    <t>Dusk</t>
  </si>
  <si>
    <t>Move me to the Travel Zone.</t>
  </si>
  <si>
    <t>Deer Call</t>
  </si>
  <si>
    <t>Deploy a friendly creature.</t>
  </si>
  <si>
    <t>Adir Rutbuck</t>
  </si>
  <si>
    <t>Rack Attack</t>
  </si>
  <si>
    <t>Abjuration</t>
  </si>
  <si>
    <t>Give a creature 3 Shields. Deal 5 damage to a creature.</t>
  </si>
  <si>
    <t>Adir Stag</t>
  </si>
  <si>
    <t>Reality Bend</t>
  </si>
  <si>
    <t>Life, Transform</t>
  </si>
  <si>
    <t>Speed</t>
  </si>
  <si>
    <t>Super Fast</t>
  </si>
  <si>
    <t>Fast</t>
  </si>
  <si>
    <t>Normal</t>
  </si>
  <si>
    <t>Slow</t>
  </si>
  <si>
    <t>Super Slow</t>
  </si>
  <si>
    <t>Scout 3. Remove all terrains from the landmark. Give the landmark the terrains of the scouted biome.</t>
  </si>
  <si>
    <t>Adir Yearling</t>
  </si>
  <si>
    <t>Antler Stab</t>
  </si>
  <si>
    <t>Travel</t>
  </si>
  <si>
    <t>Attack</t>
  </si>
  <si>
    <t>Rest X</t>
  </si>
  <si>
    <t>Remove a terrain mod from a creature.</t>
  </si>
  <si>
    <t>Adir Zunderbie</t>
  </si>
  <si>
    <t>Undead</t>
  </si>
  <si>
    <t>Wasting</t>
  </si>
  <si>
    <t>Deal 1 damage to me.</t>
  </si>
  <si>
    <t>Perseverance</t>
  </si>
  <si>
    <t>Revenge</t>
  </si>
  <si>
    <t>Give me +2 in a terrain mod. Give me +2.</t>
  </si>
  <si>
    <t>Deathrattle</t>
  </si>
  <si>
    <t>Embird</t>
  </si>
  <si>
    <t>Fire</t>
  </si>
  <si>
    <t>Volcano</t>
  </si>
  <si>
    <t>Jungle</t>
  </si>
  <si>
    <t>Tundra</t>
  </si>
  <si>
    <t>Flame Spit</t>
  </si>
  <si>
    <t>Evocation</t>
  </si>
  <si>
    <t>Symbiotic</t>
  </si>
  <si>
    <t>Deal 5 damage to a creature.</t>
  </si>
  <si>
    <t>Fire Fir</t>
  </si>
  <si>
    <t>Rock</t>
  </si>
  <si>
    <t>Plant, Fire, Rock</t>
  </si>
  <si>
    <t>Cinder Roots</t>
  </si>
  <si>
    <t>When another creature takes damage,</t>
  </si>
  <si>
    <t>Give me +1.</t>
  </si>
  <si>
    <t>Indigenous</t>
  </si>
  <si>
    <t>Play this creature without triggering on-arrival.</t>
  </si>
  <si>
    <t>Firefly</t>
  </si>
  <si>
    <t>Glow</t>
  </si>
  <si>
    <t>Illusion, Evocation</t>
  </si>
  <si>
    <t>Give a creature an effect: "When I take damage, the damage is increased by 2, then remove this effect."</t>
  </si>
  <si>
    <t>Flaimingo</t>
  </si>
  <si>
    <t>Stone</t>
  </si>
  <si>
    <t>Lake</t>
  </si>
  <si>
    <t>Swamp</t>
  </si>
  <si>
    <t>Ocean</t>
  </si>
  <si>
    <t>Obsidian Feet</t>
  </si>
  <si>
    <t>Let me retreat.</t>
  </si>
  <si>
    <t>Fyrorage</t>
  </si>
  <si>
    <t>Flash Fire</t>
  </si>
  <si>
    <t>Exhaust X</t>
  </si>
  <si>
    <t>Deal 2 damage to all non-Fire creatures. If at least 6 damage was dealt, give me +2.</t>
  </si>
  <si>
    <t>Homebound</t>
  </si>
  <si>
    <t>Iguaneous</t>
  </si>
  <si>
    <t>Sunbathe</t>
  </si>
  <si>
    <t>Abjuration, Life</t>
  </si>
  <si>
    <t>Is the attacking creature Fire?</t>
  </si>
  <si>
    <t>Lava Grub</t>
  </si>
  <si>
    <t>Acclimate Volcano</t>
  </si>
  <si>
    <t>Give a creature +2 in the Volcano terrain mod.</t>
  </si>
  <si>
    <t>Magma Drake</t>
  </si>
  <si>
    <t>Fire Breath</t>
  </si>
  <si>
    <t>Deal 15 damage to all creatures of a creature type.</t>
  </si>
  <si>
    <t>Magnimog</t>
  </si>
  <si>
    <t>Consume Flesh</t>
  </si>
  <si>
    <t>Deal 1 damage to a creature. Give me +1.</t>
  </si>
  <si>
    <t>Consume Land</t>
  </si>
  <si>
    <t>Powerful X</t>
  </si>
  <si>
    <t>Give the landmark the Volcano or Wasteland terrain.</t>
  </si>
  <si>
    <t>Armored Shroom</t>
  </si>
  <si>
    <t>Armor Up</t>
  </si>
  <si>
    <t>Give a creature 2 armor, briefly.</t>
  </si>
  <si>
    <t>Obsidiax</t>
  </si>
  <si>
    <t>Obsidian Armor</t>
  </si>
  <si>
    <t>Give me 4 armor, briefly.</t>
  </si>
  <si>
    <t>Obsidian Ball</t>
  </si>
  <si>
    <t>Phoenix Pegasus</t>
  </si>
  <si>
    <t>Equine</t>
  </si>
  <si>
    <t>Flamebow</t>
  </si>
  <si>
    <t>Am I not at a home landmark?</t>
  </si>
  <si>
    <t>Remove my base power.</t>
  </si>
  <si>
    <t>Give all other Fire creatures +4.</t>
  </si>
  <si>
    <t>Ashes</t>
  </si>
  <si>
    <t>Life, Evocation</t>
  </si>
  <si>
    <t>Give me +4.</t>
  </si>
  <si>
    <t>Shady Raccoon</t>
  </si>
  <si>
    <t>Shady Deal</t>
  </si>
  <si>
    <t>Attack, Motion</t>
  </si>
  <si>
    <t>Land X</t>
  </si>
  <si>
    <t>Deal 1 damage to another creature. Give selected creature 3 Shields.</t>
  </si>
  <si>
    <t>TMod6</t>
  </si>
  <si>
    <t>Moonhowler</t>
  </si>
  <si>
    <t>Howl Call</t>
  </si>
  <si>
    <t>Vire</t>
  </si>
  <si>
    <t>Swarm</t>
  </si>
  <si>
    <t>Poison Bite</t>
  </si>
  <si>
    <t>Deal 1 damage to a creature.</t>
  </si>
  <si>
    <t>Adir Elder</t>
  </si>
  <si>
    <t>Gather the Herd</t>
  </si>
  <si>
    <t>We win the game.</t>
  </si>
  <si>
    <t>Cervid, Chiropteran</t>
  </si>
  <si>
    <t>Cervid, Theraphosid</t>
  </si>
  <si>
    <t>Cervid, Plant</t>
  </si>
  <si>
    <t>Cervid, Plant, Light</t>
  </si>
  <si>
    <t>Cervid, Plant, Poison</t>
  </si>
  <si>
    <t>Cervid, Poison, Undead</t>
  </si>
  <si>
    <t>Ramphastid, Fire</t>
  </si>
  <si>
    <t>Phoenicopterid, Stone</t>
  </si>
  <si>
    <t>Canid</t>
  </si>
  <si>
    <t>Theraphosid</t>
  </si>
  <si>
    <t>Chiropteran</t>
  </si>
  <si>
    <t>Phoenicopterid</t>
  </si>
  <si>
    <t>Ramphastid</t>
  </si>
  <si>
    <t>Procyonid</t>
  </si>
  <si>
    <t>Lampyrid</t>
  </si>
  <si>
    <t>Lampyrid, Fire, Light</t>
  </si>
  <si>
    <t>Iguanid</t>
  </si>
  <si>
    <t>Iguanid, Stone</t>
  </si>
  <si>
    <t>Accipitrid</t>
  </si>
  <si>
    <t>Equid, Accipitrid, Fire</t>
  </si>
  <si>
    <t>Lumbricid</t>
  </si>
  <si>
    <t>Lumbricid, Fire</t>
  </si>
  <si>
    <t>Draconid</t>
  </si>
  <si>
    <t>Draconid, Fire, Stone</t>
  </si>
  <si>
    <t>Elementid</t>
  </si>
  <si>
    <t>Cervid, Fire, Elementid</t>
  </si>
  <si>
    <t>Fire, Elementid</t>
  </si>
  <si>
    <t>Polyporiceae</t>
  </si>
  <si>
    <t>Polyporiceae, Stone</t>
  </si>
  <si>
    <t>Scarabaeid</t>
  </si>
  <si>
    <t>Scarabaeid, Stone, Elementid</t>
  </si>
  <si>
    <t>Culicid</t>
  </si>
  <si>
    <t>Culicid, Poison</t>
  </si>
  <si>
    <t>Creature Code</t>
  </si>
  <si>
    <t>Adir</t>
  </si>
  <si>
    <t>ADIR</t>
  </si>
  <si>
    <t>B</t>
  </si>
  <si>
    <t>Terrain</t>
  </si>
  <si>
    <t>Terrain Mods</t>
  </si>
  <si>
    <t>Mod</t>
  </si>
  <si>
    <t>Number</t>
  </si>
  <si>
    <t>Num Bin</t>
  </si>
  <si>
    <t>Mod Bin</t>
  </si>
  <si>
    <t>Combined</t>
  </si>
  <si>
    <t>A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</si>
  <si>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</si>
  <si>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</si>
  <si>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</si>
  <si>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</si>
  <si>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</si>
  <si>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</si>
  <si>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</si>
  <si>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</si>
  <si>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</si>
  <si>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</si>
  <si>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</si>
  <si>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</si>
  <si>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</si>
  <si>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</si>
  <si>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</si>
  <si>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</si>
  <si>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</si>
  <si>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</si>
  <si>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</si>
  <si>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</si>
  <si>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</si>
  <si>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Y</t>
  </si>
  <si>
    <t>Z</t>
  </si>
  <si>
    <t>a</t>
  </si>
  <si>
    <t>b</t>
  </si>
  <si>
    <t>c</t>
  </si>
  <si>
    <t>d</t>
  </si>
  <si>
    <t>e</t>
  </si>
  <si>
    <t>f</t>
  </si>
  <si>
    <t>g</t>
  </si>
  <si>
    <t>h</t>
  </si>
  <si>
    <t>u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</si>
  <si>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</si>
  <si>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</si>
  <si>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</si>
  <si>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</si>
  <si>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</si>
  <si>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</si>
  <si>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</si>
  <si>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</si>
  <si>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</si>
  <si>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</si>
  <si>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</si>
  <si>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</si>
  <si>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v</t>
  </si>
  <si>
    <t>w</t>
  </si>
  <si>
    <t>x</t>
  </si>
  <si>
    <t>y</t>
  </si>
  <si>
    <t>z</t>
  </si>
  <si>
    <t>-</t>
  </si>
  <si>
    <t>_</t>
  </si>
  <si>
    <t>Character Code</t>
  </si>
  <si>
    <t>DENCJBC9W8</t>
  </si>
  <si>
    <t>Rest</t>
  </si>
  <si>
    <t>Magic Genus</t>
  </si>
  <si>
    <t>Male Code</t>
  </si>
  <si>
    <t>Female Code</t>
  </si>
  <si>
    <t>EMBIRD</t>
  </si>
  <si>
    <t>TGVEFCK4S0</t>
  </si>
  <si>
    <t>fDIR</t>
  </si>
  <si>
    <t>kMBIRD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</si>
</sst>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/>
    <xf numFmtId="49" fontId="0" fillId="0" borderId="0" xfId="0" quotePrefix="1" applyNumberFormat="1" applyAlignment="1">
      <alignment horizontal="right"/>
    </xf>
    <xf numFmtId="49" fontId="0" fillId="0" borderId="0" xfId="0" applyNumberFormat="1" applyAlignment="1">
      <alignment horizontal="right"/>
    </xf>
    <xf numFmtId="49" fontId="1" fillId="0" borderId="1" xfId="0" applyNumberFormat="1" applyFont="1" applyBorder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2" borderId="0" xfId="0" applyFill="1"/>
    <xf numFmtId="0" fontId="0" fillId="2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29A6B-546F-481E-998B-DEEEC0EC1BE6}">
  <dimension ref="A3:S29"/>
  <sheetViews>
    <sheetView workbookViewId="0">
      <pane ySplit="3" topLeftCell="A4" activePane="bottomLeft" state="frozen"/>
      <selection pane="bottomLeft" activeCell="U10" sqref="U10"/>
    </sheetView>
  </sheetViews>
  <sheetFormatPr defaultRowHeight="15" x14ac:dyDescent="0.25"/>
  <cols>
    <col min="1" max="1" width="16" bestFit="1" customWidth="1"/>
    <col min="4" max="4" width="10.42578125" style="3" bestFit="1" customWidth="1"/>
    <col min="5" max="5" width="4.7109375" style="5" customWidth="1"/>
    <col min="6" max="6" width="9.140625" style="3"/>
    <col min="7" max="7" width="4.42578125" style="5" customWidth="1"/>
    <col min="8" max="8" width="9.140625" style="3"/>
    <col min="9" max="9" width="4.28515625" style="5" customWidth="1"/>
    <col min="10" max="10" width="9.140625" style="3"/>
    <col min="11" max="11" width="5.5703125" style="5" customWidth="1"/>
    <col min="12" max="12" width="9.140625" style="3"/>
    <col min="13" max="13" width="6.140625" style="5" customWidth="1"/>
    <col min="14" max="14" width="9.140625" style="3"/>
    <col min="15" max="15" width="5.42578125" style="5" customWidth="1"/>
  </cols>
  <sheetData>
    <row r="3" spans="1:19" s="1" customFormat="1" x14ac:dyDescent="0.25">
      <c r="A3" s="1" t="s">
        <v>0</v>
      </c>
      <c r="B3" s="1" t="s">
        <v>1</v>
      </c>
      <c r="C3" s="1" t="s">
        <v>2</v>
      </c>
      <c r="D3" s="2" t="s">
        <v>3</v>
      </c>
      <c r="E3" s="4" t="s">
        <v>8</v>
      </c>
      <c r="F3" s="2" t="s">
        <v>4</v>
      </c>
      <c r="G3" s="4" t="s">
        <v>8</v>
      </c>
      <c r="H3" s="2" t="s">
        <v>5</v>
      </c>
      <c r="I3" s="4" t="s">
        <v>8</v>
      </c>
      <c r="J3" s="2" t="s">
        <v>6</v>
      </c>
      <c r="K3" s="4" t="s">
        <v>8</v>
      </c>
      <c r="L3" s="2" t="s">
        <v>7</v>
      </c>
      <c r="M3" s="4" t="s">
        <v>8</v>
      </c>
      <c r="N3" s="2" t="s">
        <v>176</v>
      </c>
      <c r="O3" s="4" t="s">
        <v>8</v>
      </c>
      <c r="P3" s="1" t="s">
        <v>26</v>
      </c>
      <c r="Q3" s="1" t="s">
        <v>27</v>
      </c>
      <c r="R3" s="1" t="s">
        <v>9</v>
      </c>
      <c r="S3" s="1" t="s">
        <v>10</v>
      </c>
    </row>
    <row r="4" spans="1:19" x14ac:dyDescent="0.25">
      <c r="A4" t="s">
        <v>11</v>
      </c>
      <c r="B4" t="s">
        <v>188</v>
      </c>
      <c r="C4">
        <v>2</v>
      </c>
      <c r="D4" s="3" t="s">
        <v>12</v>
      </c>
      <c r="E4" s="5">
        <v>4</v>
      </c>
      <c r="F4" s="3" t="s">
        <v>13</v>
      </c>
      <c r="G4" s="5">
        <v>3</v>
      </c>
      <c r="H4" s="3" t="s">
        <v>14</v>
      </c>
      <c r="I4" s="5">
        <v>2</v>
      </c>
      <c r="J4" s="3" t="s">
        <v>15</v>
      </c>
      <c r="K4" s="5">
        <v>-2</v>
      </c>
      <c r="L4" s="3" t="s">
        <v>16</v>
      </c>
      <c r="M4" s="5">
        <v>-3</v>
      </c>
      <c r="P4" t="s">
        <v>17</v>
      </c>
      <c r="Q4" t="s">
        <v>28</v>
      </c>
      <c r="R4">
        <v>2</v>
      </c>
      <c r="S4">
        <v>3</v>
      </c>
    </row>
    <row r="5" spans="1:19" x14ac:dyDescent="0.25">
      <c r="A5" t="s">
        <v>33</v>
      </c>
      <c r="B5" t="s">
        <v>188</v>
      </c>
      <c r="C5">
        <v>1</v>
      </c>
      <c r="D5" s="3" t="s">
        <v>12</v>
      </c>
      <c r="E5" s="5">
        <v>2</v>
      </c>
      <c r="F5" s="3" t="s">
        <v>13</v>
      </c>
      <c r="G5" s="5">
        <v>1</v>
      </c>
      <c r="H5" s="3" t="s">
        <v>14</v>
      </c>
      <c r="I5" s="5">
        <v>1</v>
      </c>
      <c r="J5" s="3" t="s">
        <v>15</v>
      </c>
      <c r="K5" s="5">
        <v>-3</v>
      </c>
      <c r="L5" s="3" t="s">
        <v>16</v>
      </c>
      <c r="M5" s="5">
        <v>-4</v>
      </c>
      <c r="P5" t="s">
        <v>36</v>
      </c>
      <c r="Q5" t="s">
        <v>38</v>
      </c>
      <c r="R5">
        <v>1</v>
      </c>
      <c r="S5">
        <v>1</v>
      </c>
    </row>
    <row r="6" spans="1:19" x14ac:dyDescent="0.25">
      <c r="A6" t="s">
        <v>43</v>
      </c>
      <c r="B6" t="s">
        <v>187</v>
      </c>
      <c r="C6">
        <v>2</v>
      </c>
      <c r="D6" s="3" t="s">
        <v>12</v>
      </c>
      <c r="E6" s="5">
        <v>3</v>
      </c>
      <c r="F6" s="3" t="s">
        <v>14</v>
      </c>
      <c r="G6" s="5">
        <v>2</v>
      </c>
      <c r="H6" s="3" t="s">
        <v>13</v>
      </c>
      <c r="I6" s="5">
        <v>1</v>
      </c>
      <c r="J6" s="3" t="s">
        <v>15</v>
      </c>
      <c r="K6" s="5">
        <v>-3</v>
      </c>
      <c r="L6" s="3" t="s">
        <v>16</v>
      </c>
      <c r="M6" s="5">
        <v>-5</v>
      </c>
      <c r="P6" t="s">
        <v>44</v>
      </c>
      <c r="Q6" t="s">
        <v>47</v>
      </c>
      <c r="R6">
        <v>2</v>
      </c>
      <c r="S6">
        <v>2</v>
      </c>
    </row>
    <row r="7" spans="1:19" x14ac:dyDescent="0.25">
      <c r="A7" t="s">
        <v>53</v>
      </c>
      <c r="B7" t="s">
        <v>189</v>
      </c>
      <c r="C7">
        <v>7</v>
      </c>
      <c r="D7" s="3" t="s">
        <v>12</v>
      </c>
      <c r="E7" s="5">
        <v>7</v>
      </c>
      <c r="F7" s="3" t="s">
        <v>13</v>
      </c>
      <c r="G7" s="5">
        <v>5</v>
      </c>
      <c r="H7" s="3" t="s">
        <v>14</v>
      </c>
      <c r="I7" s="5">
        <v>4</v>
      </c>
      <c r="J7" s="3" t="s">
        <v>15</v>
      </c>
      <c r="K7" s="5">
        <v>-1</v>
      </c>
      <c r="L7" s="3" t="s">
        <v>16</v>
      </c>
      <c r="M7" s="5">
        <v>-2</v>
      </c>
      <c r="P7" t="s">
        <v>55</v>
      </c>
      <c r="R7">
        <v>4</v>
      </c>
      <c r="S7">
        <v>10</v>
      </c>
    </row>
    <row r="8" spans="1:19" x14ac:dyDescent="0.25">
      <c r="A8" t="s">
        <v>61</v>
      </c>
      <c r="B8" t="s">
        <v>190</v>
      </c>
      <c r="C8">
        <v>2</v>
      </c>
      <c r="D8" s="3" t="s">
        <v>12</v>
      </c>
      <c r="E8" s="5">
        <v>4</v>
      </c>
      <c r="F8" s="3" t="s">
        <v>13</v>
      </c>
      <c r="G8" s="5">
        <v>3</v>
      </c>
      <c r="H8" s="3" t="s">
        <v>14</v>
      </c>
      <c r="I8" s="5">
        <v>2</v>
      </c>
      <c r="J8" s="3" t="s">
        <v>15</v>
      </c>
      <c r="K8" s="5">
        <v>-2</v>
      </c>
      <c r="L8" s="3" t="s">
        <v>16</v>
      </c>
      <c r="M8" s="5">
        <v>-5</v>
      </c>
      <c r="P8" t="s">
        <v>63</v>
      </c>
      <c r="Q8" t="s">
        <v>67</v>
      </c>
      <c r="R8">
        <v>3</v>
      </c>
      <c r="S8">
        <v>4</v>
      </c>
    </row>
    <row r="9" spans="1:19" x14ac:dyDescent="0.25">
      <c r="A9" t="s">
        <v>70</v>
      </c>
      <c r="B9" t="s">
        <v>186</v>
      </c>
      <c r="C9">
        <v>2</v>
      </c>
      <c r="D9" s="3" t="s">
        <v>14</v>
      </c>
      <c r="E9" s="5">
        <v>5</v>
      </c>
      <c r="F9" s="3" t="s">
        <v>12</v>
      </c>
      <c r="G9" s="5">
        <v>4</v>
      </c>
      <c r="H9" s="3" t="s">
        <v>13</v>
      </c>
      <c r="I9" s="5">
        <v>3</v>
      </c>
      <c r="J9" s="3" t="s">
        <v>71</v>
      </c>
      <c r="K9" s="5">
        <v>2</v>
      </c>
      <c r="L9" s="3" t="s">
        <v>16</v>
      </c>
      <c r="M9" s="5">
        <v>-9</v>
      </c>
      <c r="P9" t="s">
        <v>72</v>
      </c>
      <c r="Q9" t="s">
        <v>76</v>
      </c>
      <c r="R9">
        <v>2</v>
      </c>
      <c r="S9">
        <v>4</v>
      </c>
    </row>
    <row r="10" spans="1:19" x14ac:dyDescent="0.25">
      <c r="A10" t="s">
        <v>78</v>
      </c>
      <c r="B10" t="s">
        <v>188</v>
      </c>
      <c r="C10">
        <v>4</v>
      </c>
      <c r="D10" s="3" t="s">
        <v>12</v>
      </c>
      <c r="E10" s="5">
        <v>4</v>
      </c>
      <c r="F10" s="3" t="s">
        <v>13</v>
      </c>
      <c r="G10" s="5">
        <v>4</v>
      </c>
      <c r="H10" s="3" t="s">
        <v>14</v>
      </c>
      <c r="I10" s="5">
        <v>4</v>
      </c>
      <c r="J10" s="3" t="s">
        <v>15</v>
      </c>
      <c r="K10" s="5">
        <v>-4</v>
      </c>
      <c r="L10" s="3" t="s">
        <v>16</v>
      </c>
      <c r="M10" s="5">
        <v>-4</v>
      </c>
      <c r="P10" t="s">
        <v>79</v>
      </c>
      <c r="R10">
        <v>2</v>
      </c>
      <c r="S10">
        <v>7</v>
      </c>
    </row>
    <row r="11" spans="1:19" x14ac:dyDescent="0.25">
      <c r="A11" t="s">
        <v>82</v>
      </c>
      <c r="B11" t="s">
        <v>188</v>
      </c>
      <c r="C11">
        <v>5</v>
      </c>
      <c r="D11" s="3" t="s">
        <v>12</v>
      </c>
      <c r="E11" s="5">
        <v>5</v>
      </c>
      <c r="F11" s="3" t="s">
        <v>13</v>
      </c>
      <c r="G11" s="5">
        <v>4</v>
      </c>
      <c r="H11" s="3" t="s">
        <v>14</v>
      </c>
      <c r="I11" s="5">
        <v>4</v>
      </c>
      <c r="J11" s="3" t="s">
        <v>15</v>
      </c>
      <c r="K11" s="5">
        <v>-5</v>
      </c>
      <c r="L11" s="3" t="s">
        <v>16</v>
      </c>
      <c r="M11" s="5">
        <v>-7</v>
      </c>
      <c r="P11" t="s">
        <v>83</v>
      </c>
      <c r="R11">
        <v>3</v>
      </c>
      <c r="S11">
        <v>10</v>
      </c>
    </row>
    <row r="12" spans="1:19" x14ac:dyDescent="0.25">
      <c r="A12" t="s">
        <v>92</v>
      </c>
      <c r="B12" t="s">
        <v>188</v>
      </c>
      <c r="C12">
        <v>3</v>
      </c>
      <c r="D12" s="3" t="s">
        <v>12</v>
      </c>
      <c r="E12" s="5">
        <v>4</v>
      </c>
      <c r="F12" s="3" t="s">
        <v>13</v>
      </c>
      <c r="G12" s="5">
        <v>3</v>
      </c>
      <c r="H12" s="3" t="s">
        <v>14</v>
      </c>
      <c r="I12" s="5">
        <v>2</v>
      </c>
      <c r="J12" s="3" t="s">
        <v>15</v>
      </c>
      <c r="K12" s="5">
        <v>-3</v>
      </c>
      <c r="L12" s="3" t="s">
        <v>16</v>
      </c>
      <c r="M12" s="5">
        <v>-4</v>
      </c>
      <c r="P12" t="s">
        <v>93</v>
      </c>
      <c r="R12">
        <v>2</v>
      </c>
      <c r="S12">
        <v>3</v>
      </c>
    </row>
    <row r="13" spans="1:19" x14ac:dyDescent="0.25">
      <c r="A13" t="s">
        <v>98</v>
      </c>
      <c r="B13" t="s">
        <v>191</v>
      </c>
      <c r="C13">
        <v>1</v>
      </c>
      <c r="D13" s="3" t="s">
        <v>16</v>
      </c>
      <c r="E13" s="5">
        <v>2</v>
      </c>
      <c r="F13" s="3" t="s">
        <v>12</v>
      </c>
      <c r="G13" s="5">
        <v>-1</v>
      </c>
      <c r="H13" s="3" t="s">
        <v>14</v>
      </c>
      <c r="I13" s="5">
        <v>-1</v>
      </c>
      <c r="J13" s="3" t="s">
        <v>13</v>
      </c>
      <c r="K13" s="5">
        <v>-1</v>
      </c>
      <c r="L13" s="3" t="s">
        <v>15</v>
      </c>
      <c r="M13" s="5">
        <v>-1</v>
      </c>
      <c r="P13" t="s">
        <v>100</v>
      </c>
      <c r="Q13" t="s">
        <v>102</v>
      </c>
      <c r="R13">
        <v>1</v>
      </c>
      <c r="S13">
        <v>1</v>
      </c>
    </row>
    <row r="14" spans="1:19" x14ac:dyDescent="0.25">
      <c r="A14" t="s">
        <v>106</v>
      </c>
      <c r="B14" t="s">
        <v>192</v>
      </c>
      <c r="C14">
        <v>3</v>
      </c>
      <c r="D14" s="3" t="s">
        <v>108</v>
      </c>
      <c r="E14" s="5">
        <v>7</v>
      </c>
      <c r="F14" s="3" t="s">
        <v>16</v>
      </c>
      <c r="G14" s="5">
        <v>5</v>
      </c>
      <c r="H14" s="3" t="s">
        <v>109</v>
      </c>
      <c r="I14" s="5">
        <v>3</v>
      </c>
      <c r="J14" s="3" t="s">
        <v>14</v>
      </c>
      <c r="K14" s="5">
        <v>-2</v>
      </c>
      <c r="L14" s="3" t="s">
        <v>110</v>
      </c>
      <c r="M14" s="5">
        <v>-7</v>
      </c>
      <c r="P14" t="s">
        <v>111</v>
      </c>
      <c r="R14">
        <v>3</v>
      </c>
      <c r="S14">
        <v>5</v>
      </c>
    </row>
    <row r="15" spans="1:19" x14ac:dyDescent="0.25">
      <c r="A15" t="s">
        <v>115</v>
      </c>
      <c r="B15" t="s">
        <v>117</v>
      </c>
      <c r="C15">
        <v>1</v>
      </c>
      <c r="D15" s="3" t="s">
        <v>108</v>
      </c>
      <c r="E15" s="5">
        <v>1</v>
      </c>
      <c r="F15" s="3" t="s">
        <v>16</v>
      </c>
      <c r="G15" s="5">
        <v>1</v>
      </c>
      <c r="H15" s="3" t="s">
        <v>109</v>
      </c>
      <c r="I15" s="5">
        <v>1</v>
      </c>
      <c r="J15" s="3" t="s">
        <v>71</v>
      </c>
      <c r="K15" s="5">
        <v>-3</v>
      </c>
      <c r="L15" s="3" t="s">
        <v>110</v>
      </c>
      <c r="M15" s="5">
        <v>-7</v>
      </c>
      <c r="P15" t="s">
        <v>118</v>
      </c>
      <c r="Q15" t="s">
        <v>121</v>
      </c>
      <c r="S15">
        <v>2</v>
      </c>
    </row>
    <row r="16" spans="1:19" x14ac:dyDescent="0.25">
      <c r="A16" t="s">
        <v>123</v>
      </c>
      <c r="B16" t="s">
        <v>201</v>
      </c>
      <c r="C16">
        <v>1</v>
      </c>
      <c r="D16" s="3" t="s">
        <v>108</v>
      </c>
      <c r="E16" s="5">
        <v>1</v>
      </c>
      <c r="F16" s="3" t="s">
        <v>14</v>
      </c>
      <c r="G16" s="5">
        <v>1</v>
      </c>
      <c r="H16" s="3" t="s">
        <v>12</v>
      </c>
      <c r="I16" s="5">
        <v>1</v>
      </c>
      <c r="J16" s="3" t="s">
        <v>13</v>
      </c>
      <c r="K16" s="5">
        <v>1</v>
      </c>
      <c r="P16" t="s">
        <v>124</v>
      </c>
      <c r="R16">
        <v>2</v>
      </c>
      <c r="S16">
        <v>1</v>
      </c>
    </row>
    <row r="17" spans="1:19" x14ac:dyDescent="0.25">
      <c r="A17" t="s">
        <v>127</v>
      </c>
      <c r="B17" t="s">
        <v>193</v>
      </c>
      <c r="C17">
        <v>2</v>
      </c>
      <c r="D17" s="3" t="s">
        <v>108</v>
      </c>
      <c r="E17" s="5">
        <v>5</v>
      </c>
      <c r="F17" s="3" t="s">
        <v>129</v>
      </c>
      <c r="G17" s="5">
        <v>4</v>
      </c>
      <c r="H17" s="3" t="s">
        <v>130</v>
      </c>
      <c r="I17" s="5">
        <v>3</v>
      </c>
      <c r="J17" s="3" t="s">
        <v>14</v>
      </c>
      <c r="K17" s="5">
        <v>-4</v>
      </c>
      <c r="L17" s="3" t="s">
        <v>131</v>
      </c>
      <c r="M17" s="5">
        <v>-6</v>
      </c>
      <c r="P17" t="s">
        <v>132</v>
      </c>
      <c r="R17">
        <v>1</v>
      </c>
      <c r="S17">
        <v>3</v>
      </c>
    </row>
    <row r="18" spans="1:19" x14ac:dyDescent="0.25">
      <c r="A18" t="s">
        <v>134</v>
      </c>
      <c r="B18" t="s">
        <v>212</v>
      </c>
      <c r="C18">
        <v>5</v>
      </c>
      <c r="D18" s="3" t="s">
        <v>108</v>
      </c>
      <c r="E18" s="5">
        <v>10</v>
      </c>
      <c r="F18" s="3" t="s">
        <v>12</v>
      </c>
      <c r="G18" s="5">
        <v>5</v>
      </c>
      <c r="H18" s="3" t="s">
        <v>71</v>
      </c>
      <c r="I18" s="5">
        <v>-5</v>
      </c>
      <c r="J18" s="3" t="s">
        <v>129</v>
      </c>
      <c r="K18" s="5">
        <v>-6</v>
      </c>
      <c r="L18" s="3" t="s">
        <v>131</v>
      </c>
      <c r="M18" s="5">
        <v>-7</v>
      </c>
      <c r="P18" t="s">
        <v>135</v>
      </c>
      <c r="Q18" t="s">
        <v>138</v>
      </c>
      <c r="R18">
        <v>1</v>
      </c>
      <c r="S18">
        <v>6</v>
      </c>
    </row>
    <row r="19" spans="1:19" x14ac:dyDescent="0.25">
      <c r="A19" t="s">
        <v>139</v>
      </c>
      <c r="B19" t="s">
        <v>203</v>
      </c>
      <c r="C19">
        <v>3</v>
      </c>
      <c r="D19" s="3" t="s">
        <v>108</v>
      </c>
      <c r="E19" s="5">
        <v>7</v>
      </c>
      <c r="F19" s="3" t="s">
        <v>16</v>
      </c>
      <c r="G19" s="5">
        <v>4</v>
      </c>
      <c r="H19" s="3" t="s">
        <v>15</v>
      </c>
      <c r="I19" s="5">
        <v>3</v>
      </c>
      <c r="J19" s="3" t="s">
        <v>71</v>
      </c>
      <c r="K19" s="5">
        <v>-2</v>
      </c>
      <c r="L19" s="3" t="s">
        <v>110</v>
      </c>
      <c r="M19" s="5">
        <v>-3</v>
      </c>
      <c r="P19" t="s">
        <v>140</v>
      </c>
      <c r="R19">
        <v>2</v>
      </c>
      <c r="S19">
        <v>5</v>
      </c>
    </row>
    <row r="20" spans="1:19" x14ac:dyDescent="0.25">
      <c r="A20" t="s">
        <v>143</v>
      </c>
      <c r="B20" t="s">
        <v>207</v>
      </c>
      <c r="C20">
        <v>1</v>
      </c>
      <c r="D20" s="3" t="s">
        <v>108</v>
      </c>
      <c r="E20" s="5">
        <v>2</v>
      </c>
      <c r="P20" t="s">
        <v>144</v>
      </c>
      <c r="R20">
        <v>1</v>
      </c>
      <c r="S20">
        <v>1</v>
      </c>
    </row>
    <row r="21" spans="1:19" x14ac:dyDescent="0.25">
      <c r="A21" t="s">
        <v>146</v>
      </c>
      <c r="B21" t="s">
        <v>209</v>
      </c>
      <c r="C21">
        <v>15</v>
      </c>
      <c r="D21" s="3" t="s">
        <v>108</v>
      </c>
      <c r="E21" s="5">
        <v>25</v>
      </c>
      <c r="F21" s="3" t="s">
        <v>14</v>
      </c>
      <c r="G21" s="5">
        <v>15</v>
      </c>
      <c r="H21" s="3" t="s">
        <v>16</v>
      </c>
      <c r="I21" s="5">
        <v>10</v>
      </c>
      <c r="J21" s="3" t="s">
        <v>109</v>
      </c>
      <c r="K21" s="5">
        <v>7</v>
      </c>
      <c r="L21" s="3" t="s">
        <v>71</v>
      </c>
      <c r="M21" s="5">
        <v>3</v>
      </c>
      <c r="P21" t="s">
        <v>147</v>
      </c>
      <c r="R21">
        <v>7</v>
      </c>
      <c r="S21">
        <v>30</v>
      </c>
    </row>
    <row r="22" spans="1:19" x14ac:dyDescent="0.25">
      <c r="A22" t="s">
        <v>149</v>
      </c>
      <c r="B22" t="s">
        <v>211</v>
      </c>
      <c r="C22">
        <v>1</v>
      </c>
      <c r="D22" s="3" t="s">
        <v>108</v>
      </c>
      <c r="E22" s="5">
        <v>8</v>
      </c>
      <c r="F22" s="3" t="s">
        <v>16</v>
      </c>
      <c r="G22" s="5">
        <v>5</v>
      </c>
      <c r="H22" s="3" t="s">
        <v>12</v>
      </c>
      <c r="I22" s="5">
        <v>-1</v>
      </c>
      <c r="J22" s="3" t="s">
        <v>14</v>
      </c>
      <c r="K22" s="5">
        <v>-1</v>
      </c>
      <c r="L22" s="3" t="s">
        <v>13</v>
      </c>
      <c r="M22" s="5">
        <v>-1</v>
      </c>
      <c r="P22" t="s">
        <v>150</v>
      </c>
      <c r="Q22" t="s">
        <v>152</v>
      </c>
      <c r="R22">
        <v>3</v>
      </c>
      <c r="S22">
        <v>8</v>
      </c>
    </row>
    <row r="23" spans="1:19" x14ac:dyDescent="0.25">
      <c r="A23" t="s">
        <v>155</v>
      </c>
      <c r="B23" t="s">
        <v>214</v>
      </c>
      <c r="C23">
        <v>1</v>
      </c>
      <c r="D23" s="3" t="s">
        <v>108</v>
      </c>
      <c r="E23" s="5">
        <v>1</v>
      </c>
      <c r="F23" s="3" t="s">
        <v>110</v>
      </c>
      <c r="G23" s="5">
        <v>-1</v>
      </c>
      <c r="H23" s="3" t="s">
        <v>15</v>
      </c>
      <c r="I23" s="5">
        <v>-1</v>
      </c>
      <c r="P23" t="s">
        <v>156</v>
      </c>
      <c r="S23">
        <v>2</v>
      </c>
    </row>
    <row r="24" spans="1:19" x14ac:dyDescent="0.25">
      <c r="A24" t="s">
        <v>158</v>
      </c>
      <c r="B24" t="s">
        <v>216</v>
      </c>
      <c r="C24">
        <v>2</v>
      </c>
      <c r="D24" s="3" t="s">
        <v>16</v>
      </c>
      <c r="E24" s="5">
        <v>5</v>
      </c>
      <c r="F24" s="3" t="s">
        <v>108</v>
      </c>
      <c r="G24" s="5">
        <v>4</v>
      </c>
      <c r="H24" s="3" t="s">
        <v>131</v>
      </c>
      <c r="I24" s="5">
        <v>3</v>
      </c>
      <c r="J24" s="3" t="s">
        <v>109</v>
      </c>
      <c r="K24" s="5">
        <v>-2</v>
      </c>
      <c r="L24" s="3" t="s">
        <v>13</v>
      </c>
      <c r="M24" s="5">
        <v>-7</v>
      </c>
      <c r="P24" t="s">
        <v>159</v>
      </c>
      <c r="Q24" t="s">
        <v>161</v>
      </c>
      <c r="R24">
        <v>4</v>
      </c>
      <c r="S24">
        <v>2</v>
      </c>
    </row>
    <row r="25" spans="1:19" x14ac:dyDescent="0.25">
      <c r="A25" t="s">
        <v>162</v>
      </c>
      <c r="B25" t="s">
        <v>205</v>
      </c>
      <c r="C25">
        <v>3</v>
      </c>
      <c r="D25" s="3" t="s">
        <v>108</v>
      </c>
      <c r="E25" s="5">
        <v>7</v>
      </c>
      <c r="F25" s="3" t="s">
        <v>71</v>
      </c>
      <c r="G25" s="5">
        <v>4</v>
      </c>
      <c r="H25" s="3" t="s">
        <v>13</v>
      </c>
      <c r="I25" s="5">
        <v>3</v>
      </c>
      <c r="P25" t="s">
        <v>164</v>
      </c>
      <c r="Q25" t="s">
        <v>168</v>
      </c>
      <c r="R25">
        <v>2</v>
      </c>
      <c r="S25">
        <v>9</v>
      </c>
    </row>
    <row r="26" spans="1:19" x14ac:dyDescent="0.25">
      <c r="A26" t="s">
        <v>171</v>
      </c>
      <c r="B26" t="s">
        <v>199</v>
      </c>
      <c r="C26">
        <v>2</v>
      </c>
      <c r="D26" s="3" t="s">
        <v>16</v>
      </c>
      <c r="E26" s="5">
        <v>25</v>
      </c>
      <c r="F26" s="3" t="s">
        <v>12</v>
      </c>
      <c r="G26" s="5">
        <v>15</v>
      </c>
      <c r="H26" s="3" t="s">
        <v>129</v>
      </c>
      <c r="I26" s="5">
        <v>-4</v>
      </c>
      <c r="J26" s="3" t="s">
        <v>14</v>
      </c>
      <c r="K26" s="5">
        <v>-7</v>
      </c>
      <c r="L26" s="3" t="s">
        <v>15</v>
      </c>
      <c r="M26" s="5">
        <v>-15</v>
      </c>
      <c r="N26" s="3" t="s">
        <v>71</v>
      </c>
      <c r="O26" s="5">
        <v>-15</v>
      </c>
      <c r="P26" t="s">
        <v>172</v>
      </c>
      <c r="R26">
        <v>1</v>
      </c>
      <c r="S26">
        <v>2</v>
      </c>
    </row>
    <row r="27" spans="1:19" x14ac:dyDescent="0.25">
      <c r="A27" t="s">
        <v>177</v>
      </c>
      <c r="B27" t="s">
        <v>194</v>
      </c>
      <c r="C27">
        <v>5</v>
      </c>
      <c r="D27" s="3" t="s">
        <v>12</v>
      </c>
      <c r="E27" s="5">
        <v>10</v>
      </c>
      <c r="F27" s="3" t="s">
        <v>110</v>
      </c>
      <c r="G27" s="5">
        <v>9</v>
      </c>
      <c r="H27" s="3" t="s">
        <v>129</v>
      </c>
      <c r="I27" s="5">
        <v>2</v>
      </c>
      <c r="J27" s="3" t="s">
        <v>13</v>
      </c>
      <c r="K27" s="5">
        <v>-3</v>
      </c>
      <c r="L27" s="3" t="s">
        <v>14</v>
      </c>
      <c r="M27" s="5">
        <v>-5</v>
      </c>
      <c r="P27" t="s">
        <v>178</v>
      </c>
      <c r="R27">
        <v>5</v>
      </c>
      <c r="S27">
        <v>8</v>
      </c>
    </row>
    <row r="28" spans="1:19" x14ac:dyDescent="0.25">
      <c r="A28" t="s">
        <v>179</v>
      </c>
      <c r="B28" t="s">
        <v>218</v>
      </c>
      <c r="C28">
        <v>1</v>
      </c>
      <c r="D28" s="3" t="s">
        <v>130</v>
      </c>
      <c r="E28" s="5">
        <v>1</v>
      </c>
      <c r="F28" s="3" t="s">
        <v>129</v>
      </c>
      <c r="G28" s="5">
        <v>1</v>
      </c>
      <c r="H28" s="3" t="s">
        <v>131</v>
      </c>
      <c r="I28" s="5">
        <v>1</v>
      </c>
      <c r="J28" s="3" t="s">
        <v>71</v>
      </c>
      <c r="K28" s="5">
        <v>1</v>
      </c>
      <c r="L28" s="3" t="s">
        <v>16</v>
      </c>
      <c r="M28" s="5">
        <v>1</v>
      </c>
      <c r="P28" t="s">
        <v>180</v>
      </c>
      <c r="Q28" t="s">
        <v>181</v>
      </c>
      <c r="S28">
        <v>1</v>
      </c>
    </row>
    <row r="29" spans="1:19" x14ac:dyDescent="0.25">
      <c r="A29" t="s">
        <v>183</v>
      </c>
      <c r="B29" t="s">
        <v>35</v>
      </c>
      <c r="C29">
        <v>1</v>
      </c>
      <c r="D29" s="3" t="s">
        <v>12</v>
      </c>
      <c r="E29" s="5">
        <v>15</v>
      </c>
      <c r="F29" s="3" t="s">
        <v>108</v>
      </c>
      <c r="G29" s="5">
        <v>-10</v>
      </c>
      <c r="H29" s="3" t="s">
        <v>15</v>
      </c>
      <c r="I29" s="5">
        <v>-10</v>
      </c>
      <c r="J29" s="3" t="s">
        <v>110</v>
      </c>
      <c r="K29" s="5">
        <v>-10</v>
      </c>
      <c r="L29" s="3" t="s">
        <v>16</v>
      </c>
      <c r="M29" s="5">
        <v>-10</v>
      </c>
      <c r="P29" t="s">
        <v>184</v>
      </c>
      <c r="Q29" t="s">
        <v>121</v>
      </c>
      <c r="R29">
        <v>2</v>
      </c>
      <c r="S29">
        <v>10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6D10370-2918-437E-B779-CD5FB7AA8963}">
          <x14:formula1>
            <xm:f>Abilities!$A:$A</xm:f>
          </x14:formula1>
          <xm:sqref>P1:Q2 P4:Q1048576</xm:sqref>
        </x14:dataValidation>
        <x14:dataValidation type="list" allowBlank="1" showInputMessage="1" showErrorMessage="1" xr:uid="{2DC8CEF4-8ACF-4C4A-A3A7-A582F5F90DC2}">
          <x14:formula1>
            <xm:f>Constants!$B:$B</xm:f>
          </x14:formula1>
          <xm:sqref>F4:F1048576 J4:J1048576 L4:L1048576 H28:H1048576 H4:H26 N4:N1048576 N1:N2 L1:L2 J1:J2 H1:H2 F1:F2 D1:D2 D4:D1048576</xm:sqref>
        </x14:dataValidation>
        <x14:dataValidation type="list" allowBlank="1" showInputMessage="1" showErrorMessage="1" xr:uid="{A90A0C29-7437-4DF8-995A-CF395D7E8E54}">
          <x14:formula1>
            <xm:f>Constants!$A:$A</xm:f>
          </x14:formula1>
          <xm:sqref>B1:B2 B4:B1048576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694F0-13EA-45EB-8FCD-012521CFEFC2}">
  <dimension ref="A3:L5"/>
  <sheetViews>
    <sheetView tabSelected="1" workbookViewId="0">
      <selection activeCell="I9" sqref="I9:I13"/>
    </sheetView>
  </sheetViews>
  <sheetFormatPr defaultRowHeight="15" x14ac:dyDescent="0.25"/>
  <cols>
    <col min="2" max="2" width="14.42578125" style="3" bestFit="1" customWidth="1"/>
    <col min="3" max="3" width="9.140625" style="3"/>
    <col min="4" max="4" width="12.5703125" style="8" bestFit="1" customWidth="1"/>
    <col min="5" max="5" width="9.140625" style="8"/>
    <col min="6" max="6" width="9.140625" style="6"/>
    <col min="9" max="9" width="31.28515625" bestFit="1" customWidth="1"/>
    <col min="10" max="10" width="3" bestFit="1" customWidth="1"/>
    <col min="11" max="11" width="31.28515625" bestFit="1" customWidth="1"/>
    <col min="12" max="12" width="3" bestFit="1" customWidth="1"/>
  </cols>
  <sheetData>
    <row r="3" spans="1:12" s="4" customFormat="1" x14ac:dyDescent="0.25">
      <c r="A3" s="4" t="s">
        <v>20</v>
      </c>
      <c r="B3" s="4" t="s">
        <v>219</v>
      </c>
      <c r="C3" s="4" t="s">
        <v>2</v>
      </c>
      <c r="D3" s="9" t="s">
        <v>224</v>
      </c>
      <c r="E3" s="9" t="s">
        <v>284</v>
      </c>
      <c r="F3" s="9" t="s">
        <v>285</v>
      </c>
      <c r="G3" s="4" t="s">
        <v>286</v>
      </c>
      <c r="I3" s="4" t="s">
        <v>287</v>
      </c>
      <c r="K3" s="4" t="s">
        <v>286</v>
      </c>
    </row>
    <row r="4" spans="1:12" x14ac:dyDescent="0.25">
      <c r="A4" t="s">
        <v>220</v>
      </c>
      <c r="B4" s="3" t="s">
        <v>221</v>
      </c>
      <c r="C4" s="3" t="s">
        <v>222</v>
      </c>
      <c r="D4" s="7" t="s">
        <v>283</v>
      </c>
      <c r="E4" s="8" t="s">
        <v>230</v>
      </c>
      <c r="F4" s="6" t="s">
        <v>247</v>
      </c>
      <c r="G4" t="s">
        <v>290</v>
      </c>
      <c r="I4" t="str">
        <f>_xlfn.CONCAT(B4,C4,"U",D4,"U",E4,F4,B4)</f>
        <v>ADIRBUDENCJBC9W8UASADIR</v>
      </c>
      <c r="J4">
        <f>LEN(I4)</f>
        <v>23</v>
      </c>
      <c r="K4" t="str">
        <f>_xlfn.CONCAT(B4,C4,"U",D4,"U",E4,F4,G4)</f>
        <v>ADIRBUDENCJBC9W8UASfDIR</v>
      </c>
      <c r="L4">
        <f>LEN(K4)</f>
        <v>23</v>
      </c>
    </row>
    <row r="5" spans="1:12" x14ac:dyDescent="0.25">
      <c r="A5" t="s">
        <v>106</v>
      </c>
      <c r="B5" s="3" t="s">
        <v>288</v>
      </c>
      <c r="C5" s="3" t="s">
        <v>231</v>
      </c>
      <c r="D5" s="8" t="s">
        <v>289</v>
      </c>
      <c r="E5" s="8" t="s">
        <v>222</v>
      </c>
      <c r="F5" s="6" t="s">
        <v>264</v>
      </c>
      <c r="G5" t="s">
        <v>291</v>
      </c>
      <c r="I5" t="str">
        <f>_xlfn.CONCAT(B5,C5,"U",D5,"U",E5,F5,B5)</f>
        <v>EMBIRDCUTGVEFCK4S0UBjEMBIRD</v>
      </c>
      <c r="J5">
        <f>LEN(I5)</f>
        <v>27</v>
      </c>
      <c r="K5" t="str">
        <f>_xlfn.CONCAT(B5,C5,"U",D5,"U",E5,F5,G5)</f>
        <v>EMBIRDCUTGVEFCK4S0UBjkMBIRD</v>
      </c>
      <c r="L5">
        <f>LEN(K5)</f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BA671-2B0B-4B55-9035-C39F4767C75E}">
  <dimension ref="A3:M24"/>
  <sheetViews>
    <sheetView workbookViewId="0">
      <selection activeCell="M9" sqref="M9:M13"/>
    </sheetView>
  </sheetViews>
  <sheetFormatPr defaultRowHeight="15" x14ac:dyDescent="0.25"/>
  <cols>
    <col min="1" max="1" width="10.42578125" bestFit="1" customWidth="1"/>
    <col min="2" max="2" width="8.42578125" customWidth="1"/>
    <col min="3" max="3" width="7.85546875" style="12" hidden="1" customWidth="1"/>
    <col min="4" max="4" width="7.85546875" style="13" hidden="1" customWidth="1"/>
    <col min="5" max="12" width="7.85546875" style="12" hidden="1" customWidth="1"/>
    <col min="13" max="13" width="9.140625" customWidth="1"/>
  </cols>
  <sheetData>
    <row r="3" spans="1:13" s="1" customFormat="1" x14ac:dyDescent="0.25">
      <c r="A3" s="1" t="s">
        <v>223</v>
      </c>
      <c r="B3" s="1" t="s">
        <v>225</v>
      </c>
      <c r="C3" s="10" t="s">
        <v>226</v>
      </c>
      <c r="D3" s="11" t="s">
        <v>227</v>
      </c>
      <c r="E3" s="10" t="s">
        <v>228</v>
      </c>
      <c r="F3" s="10" t="s">
        <v>229</v>
      </c>
      <c r="G3" s="10"/>
      <c r="H3" s="10"/>
      <c r="I3" s="10"/>
      <c r="J3" s="10"/>
      <c r="K3" s="10"/>
      <c r="L3" s="10"/>
      <c r="M3" s="1" t="s">
        <v>282</v>
      </c>
    </row>
    <row r="4" spans="1:13" x14ac:dyDescent="0.25">
      <c r="A4" t="s">
        <v>12</v>
      </c>
      <c r="B4">
        <v>5</v>
      </c>
      <c r="C4" s="12">
        <f>IF(ISBLANK(A4),0, _xlfn.XMATCH(A4,Constants!B:B)-1)</f>
        <v>2</v>
      </c>
      <c r="D4" s="13" t="str">
        <f>DEC2BIN(C4,5)</f>
        <v>00010</v>
      </c>
      <c r="E4" s="12" t="str">
        <f>_xlfn.CONCAT(IF(B4&gt;=0,"0","1"),DEC2BIN(B4,6))</f>
        <v>0000101</v>
      </c>
      <c r="F4" s="12" t="str">
        <f>_xlfn.CONCAT(D4,E4)</f>
        <v>000100000101</v>
      </c>
      <c r="G4" s="12" t="str">
        <f>LEFT(F4,6)</f>
        <v>000100</v>
      </c>
      <c r="H4" s="12" t="str">
        <f>RIGHT(F4,6)</f>
        <v>000101</v>
      </c>
      <c r="I4" s="12">
        <f>BIN2DEC(G4)</f>
        <v>4</v>
      </c>
      <c r="J4" s="12">
        <f>BIN2DEC(H4)</f>
        <v>5</v>
      </c>
      <c r="K4" s="12" t="str" cm="1">
        <f t="array" ref="K4">IF(I4=0,"",INDEX(Constants!$L:$L,Worksheet!I4))</f>
        <v>D</v>
      </c>
      <c r="L4" s="12" t="str" cm="1">
        <f t="array" ref="L4">IF(J4=0,"",INDEX(Constants!$L:$L,Worksheet!J4))</f>
        <v>E</v>
      </c>
      <c r="M4" t="str">
        <f>_xlfn.CONCAT(K4,L4)</f>
        <v>DE</v>
      </c>
    </row>
    <row r="5" spans="1:13" x14ac:dyDescent="0.25">
      <c r="A5" t="s">
        <v>13</v>
      </c>
      <c r="B5">
        <v>3</v>
      </c>
      <c r="C5" s="12">
        <f>IF(ISBLANK(A5),0, _xlfn.XMATCH(A5,Constants!B:B)-1)</f>
        <v>7</v>
      </c>
      <c r="D5" s="13" t="str">
        <f t="shared" ref="D5:D20" si="0">DEC2BIN(C5,5)</f>
        <v>00111</v>
      </c>
      <c r="E5" s="12" t="str">
        <f t="shared" ref="E5:E20" si="1">_xlfn.CONCAT(IF(B5&gt;=0,"0","1"),DEC2BIN(B5,6))</f>
        <v>0000011</v>
      </c>
      <c r="F5" s="12" t="str">
        <f t="shared" ref="F5:F16" si="2">_xlfn.CONCAT(D5,E5)</f>
        <v>001110000011</v>
      </c>
      <c r="G5" s="12" t="str">
        <f t="shared" ref="G5:G20" si="3">LEFT(F5,6)</f>
        <v>001110</v>
      </c>
      <c r="H5" s="12" t="str">
        <f t="shared" ref="H5:H16" si="4">RIGHT(F5,6)</f>
        <v>000011</v>
      </c>
      <c r="I5" s="12">
        <f t="shared" ref="I5:I16" si="5">BIN2DEC(G5)</f>
        <v>14</v>
      </c>
      <c r="J5" s="12">
        <f t="shared" ref="J5:J16" si="6">BIN2DEC(H5)</f>
        <v>3</v>
      </c>
      <c r="K5" s="12" t="str" cm="1">
        <f t="array" ref="K5">IF(I5=0,"",INDEX(Constants!$L:$L,Worksheet!I5))</f>
        <v>N</v>
      </c>
      <c r="L5" s="12" t="str" cm="1">
        <f t="array" ref="L5">IF(J5=0,"",INDEX(Constants!$L:$L,Worksheet!J5))</f>
        <v>C</v>
      </c>
      <c r="M5" t="str">
        <f t="shared" ref="M5:M24" si="7">_xlfn.CONCAT(K5,L5)</f>
        <v>NC</v>
      </c>
    </row>
    <row r="6" spans="1:13" x14ac:dyDescent="0.25">
      <c r="A6" t="s">
        <v>14</v>
      </c>
      <c r="B6">
        <v>2</v>
      </c>
      <c r="C6" s="12">
        <f>IF(ISBLANK(A6),0, _xlfn.XMATCH(A6,Constants!B:B)-1)</f>
        <v>5</v>
      </c>
      <c r="D6" s="13" t="str">
        <f t="shared" si="0"/>
        <v>00101</v>
      </c>
      <c r="E6" s="12" t="str">
        <f t="shared" si="1"/>
        <v>0000010</v>
      </c>
      <c r="F6" s="12" t="str">
        <f t="shared" si="2"/>
        <v>001010000010</v>
      </c>
      <c r="G6" s="12" t="str">
        <f t="shared" si="3"/>
        <v>001010</v>
      </c>
      <c r="H6" s="12" t="str">
        <f t="shared" si="4"/>
        <v>000010</v>
      </c>
      <c r="I6" s="12">
        <f t="shared" si="5"/>
        <v>10</v>
      </c>
      <c r="J6" s="12">
        <f t="shared" si="6"/>
        <v>2</v>
      </c>
      <c r="K6" s="12" t="str" cm="1">
        <f t="array" ref="K6">IF(I6=0,"",INDEX(Constants!$L:$L,Worksheet!I6))</f>
        <v>J</v>
      </c>
      <c r="L6" s="12" t="str" cm="1">
        <f t="array" ref="L6">IF(J6=0,"",INDEX(Constants!$L:$L,Worksheet!J6))</f>
        <v>B</v>
      </c>
      <c r="M6" t="str">
        <f t="shared" si="7"/>
        <v>JB</v>
      </c>
    </row>
    <row r="7" spans="1:13" x14ac:dyDescent="0.25">
      <c r="A7" t="s">
        <v>15</v>
      </c>
      <c r="B7">
        <v>-2</v>
      </c>
      <c r="C7" s="12">
        <f>IF(ISBLANK(A7),0, _xlfn.XMATCH(A7,Constants!B:B)-1)</f>
        <v>1</v>
      </c>
      <c r="D7" s="13" t="str">
        <f t="shared" si="0"/>
        <v>00001</v>
      </c>
      <c r="E7" s="12" t="str">
        <f t="shared" si="1"/>
        <v>11111111110</v>
      </c>
      <c r="F7" s="12" t="str">
        <f t="shared" si="2"/>
        <v>0000111111111110</v>
      </c>
      <c r="G7" s="12" t="str">
        <f t="shared" si="3"/>
        <v>000011</v>
      </c>
      <c r="H7" s="12" t="str">
        <f t="shared" si="4"/>
        <v>111110</v>
      </c>
      <c r="I7" s="12">
        <f t="shared" si="5"/>
        <v>3</v>
      </c>
      <c r="J7" s="12">
        <f t="shared" si="6"/>
        <v>62</v>
      </c>
      <c r="K7" s="12" t="str" cm="1">
        <f t="array" ref="K7">IF(I7=0,"",INDEX(Constants!$L:$L,Worksheet!I7))</f>
        <v>C</v>
      </c>
      <c r="L7" s="12" cm="1">
        <f t="array" ref="L7">IF(J7=0,"",INDEX(Constants!$L:$L,Worksheet!J7))</f>
        <v>9</v>
      </c>
      <c r="M7" t="str">
        <f t="shared" si="7"/>
        <v>C9</v>
      </c>
    </row>
    <row r="8" spans="1:13" x14ac:dyDescent="0.25">
      <c r="A8" t="s">
        <v>16</v>
      </c>
      <c r="B8">
        <v>-3</v>
      </c>
      <c r="C8" s="12">
        <f>IF(ISBLANK(A8),0, _xlfn.XMATCH(A8,Constants!B:B)-1)</f>
        <v>11</v>
      </c>
      <c r="D8" s="13" t="str">
        <f t="shared" si="0"/>
        <v>01011</v>
      </c>
      <c r="E8" s="12" t="str">
        <f t="shared" si="1"/>
        <v>11111111101</v>
      </c>
      <c r="F8" s="12" t="str">
        <f t="shared" si="2"/>
        <v>0101111111111101</v>
      </c>
      <c r="G8" s="12" t="str">
        <f t="shared" si="3"/>
        <v>010111</v>
      </c>
      <c r="H8" s="12" t="str">
        <f t="shared" si="4"/>
        <v>111101</v>
      </c>
      <c r="I8" s="12">
        <f t="shared" si="5"/>
        <v>23</v>
      </c>
      <c r="J8" s="12">
        <f t="shared" si="6"/>
        <v>61</v>
      </c>
      <c r="K8" s="12" t="str" cm="1">
        <f t="array" ref="K8">IF(I8=0,"",INDEX(Constants!$L:$L,Worksheet!I8))</f>
        <v>W</v>
      </c>
      <c r="L8" s="12" cm="1">
        <f t="array" ref="L8">IF(J8=0,"",INDEX(Constants!$L:$L,Worksheet!J8))</f>
        <v>8</v>
      </c>
      <c r="M8" t="str">
        <f t="shared" si="7"/>
        <v>W8</v>
      </c>
    </row>
    <row r="9" spans="1:13" x14ac:dyDescent="0.25">
      <c r="A9" t="s">
        <v>108</v>
      </c>
      <c r="B9">
        <v>7</v>
      </c>
      <c r="C9" s="12">
        <f>IF(ISBLANK(A9),0, _xlfn.XMATCH(A9,Constants!B:B)-1)</f>
        <v>10</v>
      </c>
      <c r="D9" s="13" t="str">
        <f t="shared" si="0"/>
        <v>01010</v>
      </c>
      <c r="E9" s="12" t="str">
        <f t="shared" si="1"/>
        <v>0000111</v>
      </c>
      <c r="F9" s="12" t="str">
        <f t="shared" si="2"/>
        <v>010100000111</v>
      </c>
      <c r="G9" s="12" t="str">
        <f t="shared" si="3"/>
        <v>010100</v>
      </c>
      <c r="H9" s="12" t="str">
        <f t="shared" si="4"/>
        <v>000111</v>
      </c>
      <c r="I9" s="12">
        <f t="shared" si="5"/>
        <v>20</v>
      </c>
      <c r="J9" s="12">
        <f t="shared" si="6"/>
        <v>7</v>
      </c>
      <c r="K9" s="12" t="str" cm="1">
        <f t="array" ref="K9">IF(I9=0,"",INDEX(Constants!$L:$L,Worksheet!I9))</f>
        <v>T</v>
      </c>
      <c r="L9" s="12" t="str" cm="1">
        <f t="array" ref="L9">IF(J9=0,"",INDEX(Constants!$L:$L,Worksheet!J9))</f>
        <v>G</v>
      </c>
      <c r="M9" t="str">
        <f t="shared" si="7"/>
        <v>TG</v>
      </c>
    </row>
    <row r="10" spans="1:13" x14ac:dyDescent="0.25">
      <c r="A10" t="s">
        <v>16</v>
      </c>
      <c r="B10">
        <v>5</v>
      </c>
      <c r="C10" s="12">
        <f>IF(ISBLANK(A10),0, _xlfn.XMATCH(A10,Constants!B:B)-1)</f>
        <v>11</v>
      </c>
      <c r="D10" s="13" t="str">
        <f t="shared" si="0"/>
        <v>01011</v>
      </c>
      <c r="E10" s="12" t="str">
        <f t="shared" si="1"/>
        <v>0000101</v>
      </c>
      <c r="F10" s="12" t="str">
        <f t="shared" si="2"/>
        <v>010110000101</v>
      </c>
      <c r="G10" s="12" t="str">
        <f t="shared" si="3"/>
        <v>010110</v>
      </c>
      <c r="H10" s="12" t="str">
        <f t="shared" si="4"/>
        <v>000101</v>
      </c>
      <c r="I10" s="12">
        <f t="shared" si="5"/>
        <v>22</v>
      </c>
      <c r="J10" s="12">
        <f t="shared" si="6"/>
        <v>5</v>
      </c>
      <c r="K10" s="12" t="str" cm="1">
        <f t="array" ref="K10">IF(I10=0,"",INDEX(Constants!$L:$L,Worksheet!I10))</f>
        <v>V</v>
      </c>
      <c r="L10" s="12" t="str" cm="1">
        <f t="array" ref="L10">IF(J10=0,"",INDEX(Constants!$L:$L,Worksheet!J10))</f>
        <v>E</v>
      </c>
      <c r="M10" t="str">
        <f t="shared" si="7"/>
        <v>VE</v>
      </c>
    </row>
    <row r="11" spans="1:13" x14ac:dyDescent="0.25">
      <c r="A11" t="s">
        <v>109</v>
      </c>
      <c r="B11">
        <v>3</v>
      </c>
      <c r="C11" s="12">
        <f>IF(ISBLANK(A11),0, _xlfn.XMATCH(A11,Constants!B:B)-1)</f>
        <v>3</v>
      </c>
      <c r="D11" s="13" t="str">
        <f t="shared" si="0"/>
        <v>00011</v>
      </c>
      <c r="E11" s="12" t="str">
        <f t="shared" si="1"/>
        <v>0000011</v>
      </c>
      <c r="F11" s="12" t="str">
        <f t="shared" si="2"/>
        <v>000110000011</v>
      </c>
      <c r="G11" s="12" t="str">
        <f t="shared" si="3"/>
        <v>000110</v>
      </c>
      <c r="H11" s="12" t="str">
        <f t="shared" si="4"/>
        <v>000011</v>
      </c>
      <c r="I11" s="12">
        <f t="shared" si="5"/>
        <v>6</v>
      </c>
      <c r="J11" s="12">
        <f t="shared" si="6"/>
        <v>3</v>
      </c>
      <c r="K11" s="12" t="str" cm="1">
        <f t="array" ref="K11">IF(I11=0,"",INDEX(Constants!$L:$L,Worksheet!I11))</f>
        <v>F</v>
      </c>
      <c r="L11" s="12" t="str" cm="1">
        <f t="array" ref="L11">IF(J11=0,"",INDEX(Constants!$L:$L,Worksheet!J11))</f>
        <v>C</v>
      </c>
      <c r="M11" t="str">
        <f t="shared" si="7"/>
        <v>FC</v>
      </c>
    </row>
    <row r="12" spans="1:13" x14ac:dyDescent="0.25">
      <c r="A12" t="s">
        <v>14</v>
      </c>
      <c r="B12">
        <v>-7</v>
      </c>
      <c r="C12" s="12">
        <f>IF(ISBLANK(A12),0, _xlfn.XMATCH(A12,Constants!B:B)-1)</f>
        <v>5</v>
      </c>
      <c r="D12" s="13" t="str">
        <f t="shared" si="0"/>
        <v>00101</v>
      </c>
      <c r="E12" s="12" t="str">
        <f t="shared" si="1"/>
        <v>11111111001</v>
      </c>
      <c r="F12" s="12" t="str">
        <f t="shared" si="2"/>
        <v>0010111111111001</v>
      </c>
      <c r="G12" s="12" t="str">
        <f t="shared" si="3"/>
        <v>001011</v>
      </c>
      <c r="H12" s="12" t="str">
        <f t="shared" si="4"/>
        <v>111001</v>
      </c>
      <c r="I12" s="12">
        <f t="shared" si="5"/>
        <v>11</v>
      </c>
      <c r="J12" s="12">
        <f t="shared" si="6"/>
        <v>57</v>
      </c>
      <c r="K12" s="12" t="str" cm="1">
        <f t="array" ref="K12">IF(I12=0,"",INDEX(Constants!$L:$L,Worksheet!I12))</f>
        <v>K</v>
      </c>
      <c r="L12" s="12" cm="1">
        <f t="array" ref="L12">IF(J12=0,"",INDEX(Constants!$L:$L,Worksheet!J12))</f>
        <v>4</v>
      </c>
      <c r="M12" t="str">
        <f t="shared" si="7"/>
        <v>K4</v>
      </c>
    </row>
    <row r="13" spans="1:13" x14ac:dyDescent="0.25">
      <c r="A13" t="s">
        <v>110</v>
      </c>
      <c r="B13">
        <v>-11</v>
      </c>
      <c r="C13" s="12">
        <f>IF(ISBLANK(A13),0, _xlfn.XMATCH(A13,Constants!B:B)-1)</f>
        <v>9</v>
      </c>
      <c r="D13" s="13" t="str">
        <f t="shared" si="0"/>
        <v>01001</v>
      </c>
      <c r="E13" s="12" t="str">
        <f t="shared" si="1"/>
        <v>11111110101</v>
      </c>
      <c r="F13" s="12" t="str">
        <f t="shared" si="2"/>
        <v>0100111111110101</v>
      </c>
      <c r="G13" s="12" t="str">
        <f t="shared" si="3"/>
        <v>010011</v>
      </c>
      <c r="H13" s="12" t="str">
        <f t="shared" si="4"/>
        <v>110101</v>
      </c>
      <c r="I13" s="12">
        <f t="shared" si="5"/>
        <v>19</v>
      </c>
      <c r="J13" s="12">
        <f t="shared" si="6"/>
        <v>53</v>
      </c>
      <c r="K13" s="12" t="str" cm="1">
        <f t="array" ref="K13">IF(I13=0,"",INDEX(Constants!$L:$L,Worksheet!I13))</f>
        <v>S</v>
      </c>
      <c r="L13" s="12" cm="1">
        <f t="array" ref="L13">IF(J13=0,"",INDEX(Constants!$L:$L,Worksheet!J13))</f>
        <v>0</v>
      </c>
      <c r="M13" t="str">
        <f t="shared" si="7"/>
        <v>S0</v>
      </c>
    </row>
    <row r="14" spans="1:13" x14ac:dyDescent="0.25">
      <c r="C14" s="12">
        <f>IF(ISBLANK(A14),0, _xlfn.XMATCH(A14,Constants!B:B)-1)</f>
        <v>0</v>
      </c>
      <c r="D14" s="13" t="str">
        <f t="shared" si="0"/>
        <v>00000</v>
      </c>
      <c r="E14" s="12" t="str">
        <f t="shared" si="1"/>
        <v>0000000</v>
      </c>
      <c r="F14" s="12" t="str">
        <f t="shared" si="2"/>
        <v>000000000000</v>
      </c>
      <c r="G14" s="12" t="str">
        <f t="shared" si="3"/>
        <v>000000</v>
      </c>
      <c r="H14" s="12" t="str">
        <f t="shared" si="4"/>
        <v>000000</v>
      </c>
      <c r="I14" s="12">
        <f t="shared" si="5"/>
        <v>0</v>
      </c>
      <c r="J14" s="12">
        <f t="shared" si="6"/>
        <v>0</v>
      </c>
      <c r="K14" s="12" t="str" cm="1">
        <f t="array" ref="K14">IF(I14=0,"",INDEX(Constants!$L:$L,Worksheet!I14))</f>
        <v/>
      </c>
      <c r="L14" s="12" t="str" cm="1">
        <f t="array" ref="L14">IF(J14=0,"",INDEX(Constants!$L:$L,Worksheet!J14))</f>
        <v/>
      </c>
      <c r="M14" t="str">
        <f t="shared" si="7"/>
        <v/>
      </c>
    </row>
    <row r="15" spans="1:13" x14ac:dyDescent="0.25">
      <c r="C15" s="12">
        <f>IF(ISBLANK(A15),0, _xlfn.XMATCH(A15,Constants!B:B)-1)</f>
        <v>0</v>
      </c>
      <c r="D15" s="13" t="str">
        <f t="shared" si="0"/>
        <v>00000</v>
      </c>
      <c r="E15" s="12" t="str">
        <f t="shared" si="1"/>
        <v>0000000</v>
      </c>
      <c r="F15" s="12" t="str">
        <f t="shared" si="2"/>
        <v>000000000000</v>
      </c>
      <c r="G15" s="12" t="str">
        <f t="shared" si="3"/>
        <v>000000</v>
      </c>
      <c r="H15" s="12" t="str">
        <f t="shared" si="4"/>
        <v>000000</v>
      </c>
      <c r="I15" s="12">
        <f t="shared" si="5"/>
        <v>0</v>
      </c>
      <c r="J15" s="12">
        <f t="shared" si="6"/>
        <v>0</v>
      </c>
      <c r="K15" s="12" t="str" cm="1">
        <f t="array" ref="K15">IF(I15=0,"",INDEX(Constants!$L:$L,Worksheet!I15))</f>
        <v/>
      </c>
      <c r="L15" s="12" t="str" cm="1">
        <f t="array" ref="L15">IF(J15=0,"",INDEX(Constants!$L:$L,Worksheet!J15))</f>
        <v/>
      </c>
      <c r="M15" t="str">
        <f t="shared" si="7"/>
        <v/>
      </c>
    </row>
    <row r="16" spans="1:13" x14ac:dyDescent="0.25">
      <c r="C16" s="12">
        <f>IF(ISBLANK(A16),0, _xlfn.XMATCH(A16,Constants!B:B)-1)</f>
        <v>0</v>
      </c>
      <c r="D16" s="13" t="str">
        <f t="shared" si="0"/>
        <v>00000</v>
      </c>
      <c r="E16" s="12" t="str">
        <f t="shared" si="1"/>
        <v>0000000</v>
      </c>
      <c r="F16" s="12" t="str">
        <f t="shared" si="2"/>
        <v>000000000000</v>
      </c>
      <c r="G16" s="12" t="str">
        <f t="shared" si="3"/>
        <v>000000</v>
      </c>
      <c r="H16" s="12" t="str">
        <f t="shared" si="4"/>
        <v>000000</v>
      </c>
      <c r="I16" s="12">
        <f t="shared" si="5"/>
        <v>0</v>
      </c>
      <c r="J16" s="12">
        <f t="shared" si="6"/>
        <v>0</v>
      </c>
      <c r="K16" s="12" t="str" cm="1">
        <f t="array" ref="K16">IF(I16=0,"",INDEX(Constants!$L:$L,Worksheet!I16))</f>
        <v/>
      </c>
      <c r="L16" s="12" t="str" cm="1">
        <f t="array" ref="L16">IF(J16=0,"",INDEX(Constants!$L:$L,Worksheet!J16))</f>
        <v/>
      </c>
      <c r="M16" t="str">
        <f t="shared" si="7"/>
        <v/>
      </c>
    </row>
    <row r="17" spans="3:13" x14ac:dyDescent="0.25">
      <c r="C17" s="12">
        <f>IF(ISBLANK(A17),0, _xlfn.XMATCH(A17,Constants!B:B)-1)</f>
        <v>0</v>
      </c>
      <c r="D17" s="13" t="str">
        <f t="shared" si="0"/>
        <v>00000</v>
      </c>
      <c r="E17" s="12" t="str">
        <f t="shared" si="1"/>
        <v>0000000</v>
      </c>
      <c r="F17" s="12" t="str">
        <f t="shared" ref="F17:F20" si="8">_xlfn.CONCAT(D17,E17)</f>
        <v>000000000000</v>
      </c>
      <c r="G17" s="12" t="str">
        <f t="shared" si="3"/>
        <v>000000</v>
      </c>
      <c r="H17" s="12" t="str">
        <f t="shared" ref="H17:H20" si="9">RIGHT(F17,6)</f>
        <v>000000</v>
      </c>
      <c r="I17" s="12">
        <f t="shared" ref="I17:I20" si="10">BIN2DEC(G17)</f>
        <v>0</v>
      </c>
      <c r="J17" s="12">
        <f t="shared" ref="J17:J20" si="11">BIN2DEC(H17)</f>
        <v>0</v>
      </c>
      <c r="K17" s="12" t="str" cm="1">
        <f t="array" ref="K17">IF(I17=0,"",INDEX(Constants!$L:$L,Worksheet!I17))</f>
        <v/>
      </c>
      <c r="L17" s="12" t="str" cm="1">
        <f t="array" ref="L17">IF(J17=0,"",INDEX(Constants!$L:$L,Worksheet!J17))</f>
        <v/>
      </c>
      <c r="M17" t="str">
        <f t="shared" si="7"/>
        <v/>
      </c>
    </row>
    <row r="18" spans="3:13" x14ac:dyDescent="0.25">
      <c r="C18" s="12">
        <f>IF(ISBLANK(A18),0, _xlfn.XMATCH(A18,Constants!B:B)-1)</f>
        <v>0</v>
      </c>
      <c r="D18" s="13" t="str">
        <f t="shared" si="0"/>
        <v>00000</v>
      </c>
      <c r="E18" s="12" t="str">
        <f t="shared" si="1"/>
        <v>0000000</v>
      </c>
      <c r="F18" s="12" t="str">
        <f t="shared" si="8"/>
        <v>000000000000</v>
      </c>
      <c r="G18" s="12" t="str">
        <f t="shared" si="3"/>
        <v>000000</v>
      </c>
      <c r="H18" s="12" t="str">
        <f t="shared" si="9"/>
        <v>000000</v>
      </c>
      <c r="I18" s="12">
        <f t="shared" si="10"/>
        <v>0</v>
      </c>
      <c r="J18" s="12">
        <f t="shared" si="11"/>
        <v>0</v>
      </c>
      <c r="K18" s="12" t="str" cm="1">
        <f t="array" ref="K18">IF(I18=0,"",INDEX(Constants!$L:$L,Worksheet!I18))</f>
        <v/>
      </c>
      <c r="L18" s="12" t="str" cm="1">
        <f t="array" ref="L18">IF(J18=0,"",INDEX(Constants!$L:$L,Worksheet!J18))</f>
        <v/>
      </c>
      <c r="M18" t="str">
        <f t="shared" si="7"/>
        <v/>
      </c>
    </row>
    <row r="19" spans="3:13" x14ac:dyDescent="0.25">
      <c r="C19" s="12">
        <f>IF(ISBLANK(A19),0, _xlfn.XMATCH(A19,Constants!B:B)-1)</f>
        <v>0</v>
      </c>
      <c r="D19" s="13" t="str">
        <f t="shared" si="0"/>
        <v>00000</v>
      </c>
      <c r="E19" s="12" t="str">
        <f t="shared" si="1"/>
        <v>0000000</v>
      </c>
      <c r="F19" s="12" t="str">
        <f t="shared" si="8"/>
        <v>000000000000</v>
      </c>
      <c r="G19" s="12" t="str">
        <f t="shared" si="3"/>
        <v>000000</v>
      </c>
      <c r="H19" s="12" t="str">
        <f t="shared" si="9"/>
        <v>000000</v>
      </c>
      <c r="I19" s="12">
        <f t="shared" si="10"/>
        <v>0</v>
      </c>
      <c r="J19" s="12">
        <f t="shared" si="11"/>
        <v>0</v>
      </c>
      <c r="K19" s="12" t="str" cm="1">
        <f t="array" ref="K19">IF(I19=0,"",INDEX(Constants!$L:$L,Worksheet!I19))</f>
        <v/>
      </c>
      <c r="L19" s="12" t="str" cm="1">
        <f t="array" ref="L19">IF(J19=0,"",INDEX(Constants!$L:$L,Worksheet!J19))</f>
        <v/>
      </c>
      <c r="M19" t="str">
        <f t="shared" si="7"/>
        <v/>
      </c>
    </row>
    <row r="20" spans="3:13" x14ac:dyDescent="0.25">
      <c r="C20" s="12">
        <f>IF(ISBLANK(A20),0, _xlfn.XMATCH(A20,Constants!B:B)-1)</f>
        <v>0</v>
      </c>
      <c r="D20" s="13" t="str">
        <f t="shared" si="0"/>
        <v>00000</v>
      </c>
      <c r="E20" s="12" t="str">
        <f t="shared" si="1"/>
        <v>0000000</v>
      </c>
      <c r="F20" s="12" t="str">
        <f t="shared" si="8"/>
        <v>000000000000</v>
      </c>
      <c r="G20" s="12" t="str">
        <f t="shared" si="3"/>
        <v>000000</v>
      </c>
      <c r="H20" s="12" t="str">
        <f t="shared" si="9"/>
        <v>000000</v>
      </c>
      <c r="I20" s="12">
        <f t="shared" si="10"/>
        <v>0</v>
      </c>
      <c r="J20" s="12">
        <f t="shared" si="11"/>
        <v>0</v>
      </c>
      <c r="K20" s="12" t="str" cm="1">
        <f t="array" ref="K20">IF(I20=0,"",INDEX(Constants!$L:$L,Worksheet!I20))</f>
        <v/>
      </c>
      <c r="L20" s="12" t="str" cm="1">
        <f t="array" ref="L20">IF(J20=0,"",INDEX(Constants!$L:$L,Worksheet!J20))</f>
        <v/>
      </c>
      <c r="M20" t="str">
        <f t="shared" si="7"/>
        <v/>
      </c>
    </row>
    <row r="21" spans="3:13" x14ac:dyDescent="0.25">
      <c r="M21" t="str">
        <f t="shared" si="7"/>
        <v/>
      </c>
    </row>
    <row r="22" spans="3:13" x14ac:dyDescent="0.25">
      <c r="M22" t="str">
        <f t="shared" si="7"/>
        <v/>
      </c>
    </row>
    <row r="23" spans="3:13" x14ac:dyDescent="0.25">
      <c r="M23" t="str">
        <f t="shared" si="7"/>
        <v/>
      </c>
    </row>
    <row r="24" spans="3:13" x14ac:dyDescent="0.25">
      <c r="M24" t="str">
        <f t="shared" si="7"/>
        <v/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7097E2E-8D17-4B00-97D5-80E1E6C72F7B}">
          <x14:formula1>
            <xm:f>Constants!$B:$B</xm:f>
          </x14:formula1>
          <xm:sqref>A1:A1048576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B5ED6-50E6-49F6-AF94-97A4FB211017}">
  <dimension ref="A3:I41"/>
  <sheetViews>
    <sheetView workbookViewId="0">
      <pane ySplit="3" topLeftCell="A22" activePane="bottomLeft" state="frozen"/>
      <selection pane="bottomLeft" activeCell="C42" sqref="C42"/>
    </sheetView>
  </sheetViews>
  <sheetFormatPr defaultRowHeight="15" x14ac:dyDescent="0.25"/>
  <cols>
    <col min="1" max="1" width="14.5703125" bestFit="1" customWidth="1"/>
    <col min="2" max="2" width="10.85546875" bestFit="1" customWidth="1"/>
    <col min="3" max="3" width="10.85546875" customWidth="1"/>
    <col min="6" max="6" width="2.140625" bestFit="1" customWidth="1"/>
    <col min="8" max="8" width="3" bestFit="1" customWidth="1"/>
    <col min="9" max="9" width="92.28515625" bestFit="1" customWidth="1"/>
  </cols>
  <sheetData>
    <row r="3" spans="1:9" s="1" customFormat="1" x14ac:dyDescent="0.25">
      <c r="A3" s="1" t="s">
        <v>20</v>
      </c>
      <c r="B3" s="1" t="s">
        <v>21</v>
      </c>
      <c r="C3" s="1" t="s">
        <v>85</v>
      </c>
      <c r="D3" s="1" t="s">
        <v>22</v>
      </c>
      <c r="E3" s="1" t="s">
        <v>23</v>
      </c>
      <c r="F3" s="1" t="s">
        <v>58</v>
      </c>
      <c r="G3" s="1" t="s">
        <v>24</v>
      </c>
      <c r="H3" s="1" t="s">
        <v>58</v>
      </c>
      <c r="I3" s="1" t="s">
        <v>25</v>
      </c>
    </row>
    <row r="4" spans="1:9" x14ac:dyDescent="0.25">
      <c r="A4" t="s">
        <v>17</v>
      </c>
      <c r="B4" t="s">
        <v>18</v>
      </c>
      <c r="D4" t="s">
        <v>19</v>
      </c>
      <c r="I4" t="s">
        <v>29</v>
      </c>
    </row>
    <row r="5" spans="1:9" x14ac:dyDescent="0.25">
      <c r="A5" t="s">
        <v>28</v>
      </c>
      <c r="B5" t="s">
        <v>30</v>
      </c>
      <c r="D5" t="s">
        <v>31</v>
      </c>
      <c r="I5" t="s">
        <v>32</v>
      </c>
    </row>
    <row r="6" spans="1:9" x14ac:dyDescent="0.25">
      <c r="A6" t="s">
        <v>36</v>
      </c>
      <c r="B6" t="s">
        <v>18</v>
      </c>
      <c r="D6" t="s">
        <v>19</v>
      </c>
      <c r="I6" t="s">
        <v>37</v>
      </c>
    </row>
    <row r="7" spans="1:9" x14ac:dyDescent="0.25">
      <c r="A7" t="s">
        <v>38</v>
      </c>
      <c r="B7" t="s">
        <v>39</v>
      </c>
      <c r="D7" t="s">
        <v>40</v>
      </c>
      <c r="G7" t="s">
        <v>41</v>
      </c>
      <c r="I7" t="s">
        <v>42</v>
      </c>
    </row>
    <row r="8" spans="1:9" x14ac:dyDescent="0.25">
      <c r="A8" t="s">
        <v>44</v>
      </c>
      <c r="B8" t="s">
        <v>45</v>
      </c>
      <c r="D8" t="s">
        <v>19</v>
      </c>
      <c r="I8" t="s">
        <v>46</v>
      </c>
    </row>
    <row r="9" spans="1:9" x14ac:dyDescent="0.25">
      <c r="A9" t="s">
        <v>47</v>
      </c>
      <c r="B9" t="s">
        <v>48</v>
      </c>
      <c r="D9" t="s">
        <v>49</v>
      </c>
      <c r="G9" t="s">
        <v>50</v>
      </c>
      <c r="I9" t="s">
        <v>52</v>
      </c>
    </row>
    <row r="10" spans="1:9" x14ac:dyDescent="0.25">
      <c r="A10" t="s">
        <v>55</v>
      </c>
      <c r="B10" t="s">
        <v>30</v>
      </c>
      <c r="G10" t="s">
        <v>59</v>
      </c>
      <c r="H10">
        <v>5</v>
      </c>
      <c r="I10" t="s">
        <v>60</v>
      </c>
    </row>
    <row r="11" spans="1:9" x14ac:dyDescent="0.25">
      <c r="A11" t="s">
        <v>63</v>
      </c>
      <c r="B11" t="s">
        <v>64</v>
      </c>
      <c r="D11" t="s">
        <v>65</v>
      </c>
      <c r="I11" t="s">
        <v>66</v>
      </c>
    </row>
    <row r="12" spans="1:9" x14ac:dyDescent="0.25">
      <c r="A12" t="s">
        <v>67</v>
      </c>
      <c r="B12" t="s">
        <v>68</v>
      </c>
      <c r="D12" t="s">
        <v>67</v>
      </c>
      <c r="I12" t="s">
        <v>69</v>
      </c>
    </row>
    <row r="13" spans="1:9" x14ac:dyDescent="0.25">
      <c r="A13" t="s">
        <v>72</v>
      </c>
      <c r="B13" t="s">
        <v>94</v>
      </c>
      <c r="D13" t="s">
        <v>74</v>
      </c>
      <c r="I13" t="s">
        <v>75</v>
      </c>
    </row>
    <row r="14" spans="1:9" x14ac:dyDescent="0.25">
      <c r="A14" t="s">
        <v>76</v>
      </c>
      <c r="B14" t="s">
        <v>48</v>
      </c>
      <c r="D14" t="s">
        <v>73</v>
      </c>
      <c r="I14" t="s">
        <v>77</v>
      </c>
    </row>
    <row r="15" spans="1:9" x14ac:dyDescent="0.25">
      <c r="A15" t="s">
        <v>79</v>
      </c>
      <c r="B15" t="s">
        <v>80</v>
      </c>
      <c r="D15" t="s">
        <v>19</v>
      </c>
      <c r="I15" t="s">
        <v>81</v>
      </c>
    </row>
    <row r="16" spans="1:9" x14ac:dyDescent="0.25">
      <c r="A16" t="s">
        <v>83</v>
      </c>
      <c r="B16" t="s">
        <v>84</v>
      </c>
      <c r="C16" t="s">
        <v>89</v>
      </c>
      <c r="G16" t="s">
        <v>56</v>
      </c>
      <c r="I16" t="s">
        <v>91</v>
      </c>
    </row>
    <row r="17" spans="1:9" x14ac:dyDescent="0.25">
      <c r="A17" t="s">
        <v>93</v>
      </c>
      <c r="B17" t="s">
        <v>95</v>
      </c>
      <c r="C17" t="s">
        <v>89</v>
      </c>
      <c r="E17" t="s">
        <v>96</v>
      </c>
      <c r="F17">
        <v>1</v>
      </c>
      <c r="I17" t="s">
        <v>97</v>
      </c>
    </row>
    <row r="18" spans="1:9" x14ac:dyDescent="0.25">
      <c r="A18" t="s">
        <v>100</v>
      </c>
      <c r="B18" t="s">
        <v>95</v>
      </c>
      <c r="D18" t="s">
        <v>19</v>
      </c>
      <c r="I18" t="s">
        <v>101</v>
      </c>
    </row>
    <row r="19" spans="1:9" x14ac:dyDescent="0.25">
      <c r="A19" t="s">
        <v>102</v>
      </c>
      <c r="B19" t="s">
        <v>64</v>
      </c>
      <c r="D19" t="s">
        <v>105</v>
      </c>
      <c r="I19" t="s">
        <v>104</v>
      </c>
    </row>
    <row r="20" spans="1:9" x14ac:dyDescent="0.25">
      <c r="A20" t="s">
        <v>111</v>
      </c>
      <c r="B20" t="s">
        <v>112</v>
      </c>
      <c r="G20" t="s">
        <v>113</v>
      </c>
      <c r="I20" t="s">
        <v>114</v>
      </c>
    </row>
    <row r="21" spans="1:9" x14ac:dyDescent="0.25">
      <c r="A21" t="s">
        <v>118</v>
      </c>
      <c r="B21" t="s">
        <v>64</v>
      </c>
      <c r="D21" t="s">
        <v>119</v>
      </c>
      <c r="I21" t="s">
        <v>120</v>
      </c>
    </row>
    <row r="22" spans="1:9" x14ac:dyDescent="0.25">
      <c r="A22" t="s">
        <v>121</v>
      </c>
      <c r="B22" t="s">
        <v>94</v>
      </c>
      <c r="C22" t="s">
        <v>86</v>
      </c>
      <c r="D22" t="s">
        <v>73</v>
      </c>
      <c r="G22" t="s">
        <v>41</v>
      </c>
      <c r="I22" t="s">
        <v>122</v>
      </c>
    </row>
    <row r="23" spans="1:9" x14ac:dyDescent="0.25">
      <c r="A23" t="s">
        <v>124</v>
      </c>
      <c r="B23" t="s">
        <v>125</v>
      </c>
      <c r="D23" t="s">
        <v>31</v>
      </c>
      <c r="I23" t="s">
        <v>126</v>
      </c>
    </row>
    <row r="24" spans="1:9" x14ac:dyDescent="0.25">
      <c r="A24" t="s">
        <v>132</v>
      </c>
      <c r="B24" t="s">
        <v>68</v>
      </c>
      <c r="D24" t="s">
        <v>65</v>
      </c>
      <c r="I24" t="s">
        <v>133</v>
      </c>
    </row>
    <row r="25" spans="1:9" x14ac:dyDescent="0.25">
      <c r="A25" t="s">
        <v>135</v>
      </c>
      <c r="B25" t="s">
        <v>112</v>
      </c>
      <c r="E25" t="s">
        <v>136</v>
      </c>
      <c r="F25">
        <v>1</v>
      </c>
      <c r="G25" t="s">
        <v>41</v>
      </c>
      <c r="I25" t="s">
        <v>137</v>
      </c>
    </row>
    <row r="26" spans="1:9" x14ac:dyDescent="0.25">
      <c r="A26" t="s">
        <v>138</v>
      </c>
      <c r="B26" t="s">
        <v>94</v>
      </c>
      <c r="G26" t="s">
        <v>165</v>
      </c>
      <c r="I26" t="s">
        <v>166</v>
      </c>
    </row>
    <row r="27" spans="1:9" x14ac:dyDescent="0.25">
      <c r="A27" t="s">
        <v>140</v>
      </c>
      <c r="B27" t="s">
        <v>141</v>
      </c>
      <c r="D27" t="s">
        <v>65</v>
      </c>
      <c r="G27" t="s">
        <v>142</v>
      </c>
      <c r="I27" t="s">
        <v>42</v>
      </c>
    </row>
    <row r="28" spans="1:9" x14ac:dyDescent="0.25">
      <c r="A28" t="s">
        <v>144</v>
      </c>
      <c r="D28" t="s">
        <v>105</v>
      </c>
      <c r="I28" t="s">
        <v>145</v>
      </c>
    </row>
    <row r="29" spans="1:9" x14ac:dyDescent="0.25">
      <c r="A29" t="s">
        <v>147</v>
      </c>
      <c r="C29" t="s">
        <v>89</v>
      </c>
      <c r="G29" t="s">
        <v>56</v>
      </c>
      <c r="I29" t="s">
        <v>148</v>
      </c>
    </row>
    <row r="30" spans="1:9" x14ac:dyDescent="0.25">
      <c r="A30" t="s">
        <v>150</v>
      </c>
      <c r="E30" t="s">
        <v>96</v>
      </c>
      <c r="F30">
        <v>1</v>
      </c>
      <c r="I30" t="s">
        <v>151</v>
      </c>
    </row>
    <row r="31" spans="1:9" x14ac:dyDescent="0.25">
      <c r="A31" t="s">
        <v>152</v>
      </c>
      <c r="G31" t="s">
        <v>153</v>
      </c>
      <c r="H31">
        <v>10</v>
      </c>
      <c r="I31" t="s">
        <v>154</v>
      </c>
    </row>
    <row r="32" spans="1:9" x14ac:dyDescent="0.25">
      <c r="A32" t="s">
        <v>156</v>
      </c>
      <c r="B32" t="s">
        <v>80</v>
      </c>
      <c r="D32" t="s">
        <v>105</v>
      </c>
      <c r="I32" t="s">
        <v>157</v>
      </c>
    </row>
    <row r="33" spans="1:9" x14ac:dyDescent="0.25">
      <c r="A33" t="s">
        <v>159</v>
      </c>
      <c r="B33" t="s">
        <v>80</v>
      </c>
      <c r="D33" t="s">
        <v>65</v>
      </c>
      <c r="I33" t="s">
        <v>160</v>
      </c>
    </row>
    <row r="34" spans="1:9" x14ac:dyDescent="0.25">
      <c r="A34" t="s">
        <v>161</v>
      </c>
      <c r="B34" t="s">
        <v>68</v>
      </c>
      <c r="D34" t="s">
        <v>67</v>
      </c>
      <c r="I34" t="s">
        <v>69</v>
      </c>
    </row>
    <row r="35" spans="1:9" x14ac:dyDescent="0.25">
      <c r="A35" t="s">
        <v>164</v>
      </c>
      <c r="B35" t="s">
        <v>112</v>
      </c>
      <c r="E35" t="s">
        <v>136</v>
      </c>
      <c r="F35">
        <v>2</v>
      </c>
      <c r="I35" t="s">
        <v>167</v>
      </c>
    </row>
    <row r="36" spans="1:9" x14ac:dyDescent="0.25">
      <c r="A36" t="s">
        <v>168</v>
      </c>
      <c r="B36" t="s">
        <v>169</v>
      </c>
      <c r="D36" t="s">
        <v>105</v>
      </c>
      <c r="I36" t="s">
        <v>170</v>
      </c>
    </row>
    <row r="37" spans="1:9" x14ac:dyDescent="0.25">
      <c r="A37" t="s">
        <v>172</v>
      </c>
      <c r="B37" t="s">
        <v>173</v>
      </c>
      <c r="E37" t="s">
        <v>174</v>
      </c>
      <c r="F37">
        <v>1</v>
      </c>
      <c r="I37" t="s">
        <v>175</v>
      </c>
    </row>
    <row r="38" spans="1:9" x14ac:dyDescent="0.25">
      <c r="A38" t="s">
        <v>178</v>
      </c>
      <c r="B38" t="s">
        <v>48</v>
      </c>
      <c r="D38" t="s">
        <v>19</v>
      </c>
      <c r="I38" t="s">
        <v>77</v>
      </c>
    </row>
    <row r="39" spans="1:9" x14ac:dyDescent="0.25">
      <c r="A39" t="s">
        <v>180</v>
      </c>
      <c r="B39" t="s">
        <v>39</v>
      </c>
      <c r="D39" t="s">
        <v>31</v>
      </c>
      <c r="G39" t="s">
        <v>113</v>
      </c>
      <c r="I39" t="s">
        <v>120</v>
      </c>
    </row>
    <row r="40" spans="1:9" x14ac:dyDescent="0.25">
      <c r="A40" t="s">
        <v>181</v>
      </c>
      <c r="B40" t="s">
        <v>95</v>
      </c>
      <c r="D40" t="s">
        <v>105</v>
      </c>
      <c r="I40" t="s">
        <v>182</v>
      </c>
    </row>
    <row r="41" spans="1:9" x14ac:dyDescent="0.25">
      <c r="A41" t="s">
        <v>184</v>
      </c>
      <c r="B41" t="s">
        <v>94</v>
      </c>
      <c r="C41" t="s">
        <v>89</v>
      </c>
      <c r="D41" t="s">
        <v>74</v>
      </c>
      <c r="G41" t="s">
        <v>57</v>
      </c>
      <c r="H41">
        <v>20</v>
      </c>
      <c r="I41" t="s">
        <v>185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74D0B86-F69F-4D39-8C96-2F9542D9E405}">
          <x14:formula1>
            <xm:f>Constants!$D:$D</xm:f>
          </x14:formula1>
          <xm:sqref>B1:B1048576</xm:sqref>
        </x14:dataValidation>
        <x14:dataValidation type="list" allowBlank="1" showInputMessage="1" showErrorMessage="1" xr:uid="{9AA25397-769A-4173-AF2B-E527F1D895C8}">
          <x14:formula1>
            <xm:f>Constants!$F:$F</xm:f>
          </x14:formula1>
          <xm:sqref>D1:D1048576</xm:sqref>
        </x14:dataValidation>
        <x14:dataValidation type="list" allowBlank="1" showInputMessage="1" showErrorMessage="1" xr:uid="{7319F174-088B-4681-821B-E90F7996385B}">
          <x14:formula1>
            <xm:f>Constants!$H:$H</xm:f>
          </x14:formula1>
          <xm:sqref>G1:G1048576</xm:sqref>
        </x14:dataValidation>
        <x14:dataValidation type="list" allowBlank="1" showInputMessage="1" showErrorMessage="1" xr:uid="{94024F9A-2EF5-44B8-9896-1BCC4D272D5B}">
          <x14:formula1>
            <xm:f>Constants!$E:$E</xm:f>
          </x14:formula1>
          <xm:sqref>C1:C1048576</xm:sqref>
        </x14:dataValidation>
        <x14:dataValidation type="list" allowBlank="1" showInputMessage="1" showErrorMessage="1" xr:uid="{64D12127-ECE4-4B78-AC14-D44EB8E4B7DD}">
          <x14:formula1>
            <xm:f>Constants!$G:$G</xm:f>
          </x14:formula1>
          <xm:sqref>E1:E1048576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7E971-E9D5-4628-A11F-3D2EB9D9EDB7}">
  <dimension ref="A1:L64"/>
  <sheetViews>
    <sheetView workbookViewId="0">
      <selection activeCell="L43" sqref="L1:L1048576"/>
    </sheetView>
  </sheetViews>
  <sheetFormatPr defaultRowHeight="15" x14ac:dyDescent="0.25"/>
  <cols>
    <col min="1" max="1" width="22.28515625" bestFit="1" customWidth="1"/>
    <col min="12" max="12" width="9.140625" style="3"/>
  </cols>
  <sheetData>
    <row r="1" spans="1:12" x14ac:dyDescent="0.25">
      <c r="A1" t="s">
        <v>204</v>
      </c>
      <c r="B1" t="s">
        <v>71</v>
      </c>
      <c r="D1" t="s">
        <v>80</v>
      </c>
      <c r="E1" t="s">
        <v>86</v>
      </c>
      <c r="F1" t="s">
        <v>49</v>
      </c>
      <c r="G1" t="s">
        <v>136</v>
      </c>
      <c r="H1" t="s">
        <v>41</v>
      </c>
      <c r="J1" t="s">
        <v>121</v>
      </c>
      <c r="L1" s="3" t="s">
        <v>230</v>
      </c>
    </row>
    <row r="2" spans="1:12" x14ac:dyDescent="0.25">
      <c r="A2" t="s">
        <v>194</v>
      </c>
      <c r="B2" t="s">
        <v>15</v>
      </c>
      <c r="D2" t="s">
        <v>95</v>
      </c>
      <c r="E2" t="s">
        <v>87</v>
      </c>
      <c r="F2" t="s">
        <v>40</v>
      </c>
      <c r="G2" t="s">
        <v>174</v>
      </c>
      <c r="H2" t="s">
        <v>56</v>
      </c>
      <c r="L2" s="3" t="s">
        <v>222</v>
      </c>
    </row>
    <row r="3" spans="1:12" x14ac:dyDescent="0.25">
      <c r="A3" t="s">
        <v>34</v>
      </c>
      <c r="B3" t="s">
        <v>12</v>
      </c>
      <c r="D3" t="s">
        <v>39</v>
      </c>
      <c r="E3" t="s">
        <v>88</v>
      </c>
      <c r="F3" t="s">
        <v>19</v>
      </c>
      <c r="G3" t="s">
        <v>96</v>
      </c>
      <c r="H3" t="s">
        <v>153</v>
      </c>
      <c r="L3" s="3" t="s">
        <v>231</v>
      </c>
    </row>
    <row r="4" spans="1:12" x14ac:dyDescent="0.25">
      <c r="A4" t="s">
        <v>196</v>
      </c>
      <c r="B4" t="s">
        <v>109</v>
      </c>
      <c r="D4" t="s">
        <v>48</v>
      </c>
      <c r="E4" t="s">
        <v>89</v>
      </c>
      <c r="F4" t="s">
        <v>73</v>
      </c>
      <c r="H4" t="s">
        <v>57</v>
      </c>
      <c r="L4" s="3" t="s">
        <v>232</v>
      </c>
    </row>
    <row r="5" spans="1:12" x14ac:dyDescent="0.25">
      <c r="A5" t="s">
        <v>217</v>
      </c>
      <c r="B5" t="s">
        <v>129</v>
      </c>
      <c r="D5" t="s">
        <v>45</v>
      </c>
      <c r="E5" t="s">
        <v>90</v>
      </c>
      <c r="F5" t="s">
        <v>105</v>
      </c>
      <c r="H5" t="s">
        <v>113</v>
      </c>
      <c r="L5" s="3" t="s">
        <v>233</v>
      </c>
    </row>
    <row r="6" spans="1:12" x14ac:dyDescent="0.25">
      <c r="A6" t="s">
        <v>208</v>
      </c>
      <c r="B6" t="s">
        <v>14</v>
      </c>
      <c r="D6" t="s">
        <v>112</v>
      </c>
      <c r="F6" t="s">
        <v>74</v>
      </c>
      <c r="L6" s="3" t="s">
        <v>234</v>
      </c>
    </row>
    <row r="7" spans="1:12" x14ac:dyDescent="0.25">
      <c r="A7" t="s">
        <v>210</v>
      </c>
      <c r="B7" t="s">
        <v>131</v>
      </c>
      <c r="D7" t="s">
        <v>30</v>
      </c>
      <c r="F7" t="s">
        <v>31</v>
      </c>
      <c r="H7" t="s">
        <v>165</v>
      </c>
      <c r="L7" s="3" t="s">
        <v>235</v>
      </c>
    </row>
    <row r="8" spans="1:12" x14ac:dyDescent="0.25">
      <c r="A8" t="s">
        <v>163</v>
      </c>
      <c r="B8" t="s">
        <v>13</v>
      </c>
      <c r="D8" t="s">
        <v>64</v>
      </c>
      <c r="F8" t="s">
        <v>67</v>
      </c>
      <c r="H8" t="s">
        <v>51</v>
      </c>
      <c r="L8" s="3" t="s">
        <v>236</v>
      </c>
    </row>
    <row r="9" spans="1:12" x14ac:dyDescent="0.25">
      <c r="A9" t="s">
        <v>107</v>
      </c>
      <c r="B9" t="s">
        <v>130</v>
      </c>
      <c r="D9" t="s">
        <v>68</v>
      </c>
      <c r="F9" t="s">
        <v>65</v>
      </c>
      <c r="H9" t="s">
        <v>142</v>
      </c>
      <c r="L9" s="3" t="s">
        <v>237</v>
      </c>
    </row>
    <row r="10" spans="1:12" x14ac:dyDescent="0.25">
      <c r="A10" t="s">
        <v>202</v>
      </c>
      <c r="B10" t="s">
        <v>110</v>
      </c>
      <c r="D10" t="s">
        <v>18</v>
      </c>
      <c r="F10" t="s">
        <v>103</v>
      </c>
      <c r="L10" s="3" t="s">
        <v>238</v>
      </c>
    </row>
    <row r="11" spans="1:12" x14ac:dyDescent="0.25">
      <c r="A11" t="s">
        <v>200</v>
      </c>
      <c r="B11" t="s">
        <v>108</v>
      </c>
      <c r="D11" t="s">
        <v>94</v>
      </c>
      <c r="H11" t="s">
        <v>59</v>
      </c>
      <c r="L11" s="3" t="s">
        <v>239</v>
      </c>
    </row>
    <row r="12" spans="1:12" x14ac:dyDescent="0.25">
      <c r="A12" t="s">
        <v>54</v>
      </c>
      <c r="B12" t="s">
        <v>16</v>
      </c>
      <c r="F12" t="s">
        <v>119</v>
      </c>
      <c r="L12" s="3" t="s">
        <v>240</v>
      </c>
    </row>
    <row r="13" spans="1:12" x14ac:dyDescent="0.25">
      <c r="A13" t="s">
        <v>206</v>
      </c>
      <c r="D13" t="s">
        <v>141</v>
      </c>
      <c r="L13" s="3" t="s">
        <v>241</v>
      </c>
    </row>
    <row r="14" spans="1:12" x14ac:dyDescent="0.25">
      <c r="A14" t="s">
        <v>197</v>
      </c>
      <c r="D14" t="s">
        <v>173</v>
      </c>
      <c r="L14" s="3" t="s">
        <v>242</v>
      </c>
    </row>
    <row r="15" spans="1:12" x14ac:dyDescent="0.25">
      <c r="A15" t="s">
        <v>35</v>
      </c>
      <c r="D15" t="s">
        <v>125</v>
      </c>
      <c r="L15" s="3" t="s">
        <v>243</v>
      </c>
    </row>
    <row r="16" spans="1:12" x14ac:dyDescent="0.25">
      <c r="A16" t="s">
        <v>62</v>
      </c>
      <c r="D16" t="s">
        <v>169</v>
      </c>
      <c r="L16" s="3" t="s">
        <v>244</v>
      </c>
    </row>
    <row r="17" spans="1:12" x14ac:dyDescent="0.25">
      <c r="A17" t="s">
        <v>213</v>
      </c>
      <c r="D17" t="s">
        <v>84</v>
      </c>
      <c r="L17" s="3" t="s">
        <v>245</v>
      </c>
    </row>
    <row r="18" spans="1:12" x14ac:dyDescent="0.25">
      <c r="A18" t="s">
        <v>199</v>
      </c>
      <c r="L18" s="3" t="s">
        <v>246</v>
      </c>
    </row>
    <row r="19" spans="1:12" x14ac:dyDescent="0.25">
      <c r="A19" t="s">
        <v>198</v>
      </c>
      <c r="L19" s="3" t="s">
        <v>247</v>
      </c>
    </row>
    <row r="20" spans="1:12" x14ac:dyDescent="0.25">
      <c r="A20" t="s">
        <v>116</v>
      </c>
      <c r="L20" s="3" t="s">
        <v>248</v>
      </c>
    </row>
    <row r="21" spans="1:12" x14ac:dyDescent="0.25">
      <c r="A21" t="s">
        <v>215</v>
      </c>
      <c r="L21" s="3" t="s">
        <v>249</v>
      </c>
    </row>
    <row r="22" spans="1:12" x14ac:dyDescent="0.25">
      <c r="A22" t="s">
        <v>128</v>
      </c>
      <c r="L22" s="3" t="s">
        <v>250</v>
      </c>
    </row>
    <row r="23" spans="1:12" x14ac:dyDescent="0.25">
      <c r="A23" t="s">
        <v>195</v>
      </c>
      <c r="L23" s="3" t="s">
        <v>251</v>
      </c>
    </row>
    <row r="24" spans="1:12" x14ac:dyDescent="0.25">
      <c r="A24" t="s">
        <v>99</v>
      </c>
      <c r="L24" s="3" t="s">
        <v>58</v>
      </c>
    </row>
    <row r="25" spans="1:12" x14ac:dyDescent="0.25">
      <c r="L25" s="3" t="s">
        <v>252</v>
      </c>
    </row>
    <row r="26" spans="1:12" x14ac:dyDescent="0.25">
      <c r="A26" t="s">
        <v>192</v>
      </c>
      <c r="L26" s="3" t="s">
        <v>253</v>
      </c>
    </row>
    <row r="27" spans="1:12" x14ac:dyDescent="0.25">
      <c r="A27" t="s">
        <v>193</v>
      </c>
      <c r="L27" s="3" t="s">
        <v>254</v>
      </c>
    </row>
    <row r="28" spans="1:12" x14ac:dyDescent="0.25">
      <c r="A28" t="s">
        <v>186</v>
      </c>
      <c r="L28" s="3" t="s">
        <v>255</v>
      </c>
    </row>
    <row r="29" spans="1:12" x14ac:dyDescent="0.25">
      <c r="A29" t="s">
        <v>187</v>
      </c>
      <c r="L29" s="3" t="s">
        <v>256</v>
      </c>
    </row>
    <row r="30" spans="1:12" x14ac:dyDescent="0.25">
      <c r="A30" t="s">
        <v>211</v>
      </c>
      <c r="L30" s="3" t="s">
        <v>257</v>
      </c>
    </row>
    <row r="31" spans="1:12" x14ac:dyDescent="0.25">
      <c r="A31" t="s">
        <v>188</v>
      </c>
      <c r="L31" s="3" t="s">
        <v>258</v>
      </c>
    </row>
    <row r="32" spans="1:12" x14ac:dyDescent="0.25">
      <c r="A32" t="s">
        <v>189</v>
      </c>
      <c r="L32" s="3" t="s">
        <v>259</v>
      </c>
    </row>
    <row r="33" spans="1:12" x14ac:dyDescent="0.25">
      <c r="A33" t="s">
        <v>190</v>
      </c>
      <c r="L33" s="3" t="s">
        <v>260</v>
      </c>
    </row>
    <row r="34" spans="1:12" x14ac:dyDescent="0.25">
      <c r="A34" t="s">
        <v>191</v>
      </c>
      <c r="L34" s="3" t="s">
        <v>261</v>
      </c>
    </row>
    <row r="35" spans="1:12" x14ac:dyDescent="0.25">
      <c r="A35" t="s">
        <v>218</v>
      </c>
      <c r="L35" s="3" t="s">
        <v>263</v>
      </c>
    </row>
    <row r="36" spans="1:12" x14ac:dyDescent="0.25">
      <c r="A36" t="s">
        <v>209</v>
      </c>
      <c r="L36" s="3" t="s">
        <v>264</v>
      </c>
    </row>
    <row r="37" spans="1:12" x14ac:dyDescent="0.25">
      <c r="A37" t="s">
        <v>205</v>
      </c>
      <c r="L37" s="3" t="s">
        <v>265</v>
      </c>
    </row>
    <row r="38" spans="1:12" x14ac:dyDescent="0.25">
      <c r="A38" t="s">
        <v>212</v>
      </c>
      <c r="L38" s="3" t="s">
        <v>266</v>
      </c>
    </row>
    <row r="39" spans="1:12" x14ac:dyDescent="0.25">
      <c r="A39" t="s">
        <v>203</v>
      </c>
      <c r="L39" s="3" t="s">
        <v>267</v>
      </c>
    </row>
    <row r="40" spans="1:12" x14ac:dyDescent="0.25">
      <c r="A40" t="s">
        <v>201</v>
      </c>
      <c r="L40" s="3" t="s">
        <v>268</v>
      </c>
    </row>
    <row r="41" spans="1:12" x14ac:dyDescent="0.25">
      <c r="A41" t="s">
        <v>207</v>
      </c>
      <c r="L41" s="3" t="s">
        <v>269</v>
      </c>
    </row>
    <row r="42" spans="1:12" x14ac:dyDescent="0.25">
      <c r="A42" t="s">
        <v>117</v>
      </c>
      <c r="L42" s="3" t="s">
        <v>270</v>
      </c>
    </row>
    <row r="43" spans="1:12" x14ac:dyDescent="0.25">
      <c r="A43" t="s">
        <v>214</v>
      </c>
      <c r="L43" s="3" t="s">
        <v>271</v>
      </c>
    </row>
    <row r="44" spans="1:12" x14ac:dyDescent="0.25">
      <c r="A44" t="s">
        <v>216</v>
      </c>
      <c r="L44" s="3" t="s">
        <v>272</v>
      </c>
    </row>
    <row r="45" spans="1:12" x14ac:dyDescent="0.25">
      <c r="L45" s="3" t="s">
        <v>273</v>
      </c>
    </row>
    <row r="46" spans="1:12" x14ac:dyDescent="0.25">
      <c r="L46" s="3" t="s">
        <v>274</v>
      </c>
    </row>
    <row r="47" spans="1:12" x14ac:dyDescent="0.25">
      <c r="L47" s="3" t="s">
        <v>262</v>
      </c>
    </row>
    <row r="48" spans="1:12" x14ac:dyDescent="0.25">
      <c r="L48" s="3" t="s">
        <v>275</v>
      </c>
    </row>
    <row r="49" spans="12:12" x14ac:dyDescent="0.25">
      <c r="L49" s="3" t="s">
        <v>276</v>
      </c>
    </row>
    <row r="50" spans="12:12" x14ac:dyDescent="0.25">
      <c r="L50" s="3" t="s">
        <v>277</v>
      </c>
    </row>
    <row r="51" spans="12:12" x14ac:dyDescent="0.25">
      <c r="L51" s="3" t="s">
        <v>278</v>
      </c>
    </row>
    <row r="52" spans="12:12" x14ac:dyDescent="0.25">
      <c r="L52" s="3" t="s">
        <v>279</v>
      </c>
    </row>
    <row r="53" spans="12:12" x14ac:dyDescent="0.25">
      <c r="L53" s="3">
        <v>0</v>
      </c>
    </row>
    <row r="54" spans="12:12" x14ac:dyDescent="0.25">
      <c r="L54" s="3">
        <v>1</v>
      </c>
    </row>
    <row r="55" spans="12:12" x14ac:dyDescent="0.25">
      <c r="L55" s="3">
        <v>2</v>
      </c>
    </row>
    <row r="56" spans="12:12" x14ac:dyDescent="0.25">
      <c r="L56" s="3">
        <v>3</v>
      </c>
    </row>
    <row r="57" spans="12:12" x14ac:dyDescent="0.25">
      <c r="L57" s="3">
        <v>4</v>
      </c>
    </row>
    <row r="58" spans="12:12" x14ac:dyDescent="0.25">
      <c r="L58" s="3">
        <v>5</v>
      </c>
    </row>
    <row r="59" spans="12:12" x14ac:dyDescent="0.25">
      <c r="L59" s="3">
        <v>6</v>
      </c>
    </row>
    <row r="60" spans="12:12" x14ac:dyDescent="0.25">
      <c r="L60" s="3">
        <v>7</v>
      </c>
    </row>
    <row r="61" spans="12:12" x14ac:dyDescent="0.25">
      <c r="L61" s="3">
        <v>8</v>
      </c>
    </row>
    <row r="62" spans="12:12" x14ac:dyDescent="0.25">
      <c r="L62" s="3">
        <v>9</v>
      </c>
    </row>
    <row r="63" spans="12:12" x14ac:dyDescent="0.25">
      <c r="L63" s="3" t="s">
        <v>280</v>
      </c>
    </row>
    <row r="64" spans="12:12" x14ac:dyDescent="0.25">
      <c r="L64" s="3" t="s">
        <v>281</v>
      </c>
    </row>
  </sheetData>
  <sortState xmlns:xlrd2="http://schemas.microsoft.com/office/spreadsheetml/2017/richdata2" ref="B2:B6">
    <sortCondition ref="B2:B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Creatures</vt:lpstr>
      <vt:lpstr>Species</vt:lpstr>
      <vt:lpstr>Worksheet</vt:lpstr>
      <vt:lpstr>Abilities</vt:lpstr>
      <vt:lpstr>Constants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Sheneman</dc:creator>
  <cp:lastModifiedBy>Stephen Sheneman</cp:lastModifiedBy>
  <dcterms:created xsi:type="dcterms:W3CDTF">2026-08-17T04:05:06Z</dcterms:created>
  <dcterms:modified xsi:type="dcterms:W3CDTF">2026-09-06T10:06:42Z</dcterms:modified>
</cp:coreProperties>
</file>